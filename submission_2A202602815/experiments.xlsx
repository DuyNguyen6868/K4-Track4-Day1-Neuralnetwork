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50, Ai thực chiến\Labs\K4-Track4-Day1-Neuralnetwork\submission_2A202602815\"/>
    </mc:Choice>
  </mc:AlternateContent>
  <xr:revisionPtr revIDLastSave="0" documentId="13_ncr:1_{293FB59A-27B0-44C9-ACB4-068F9DA2EDB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C8" i="3" s="1"/>
  <c r="B2" i="3"/>
  <c r="B8" i="3" s="1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C9" i="3" l="1"/>
  <c r="C10" i="3" s="1"/>
  <c r="B9" i="3"/>
  <c r="B10" i="3" s="1"/>
  <c r="D9" i="3"/>
  <c r="D10" i="3" s="1"/>
  <c r="D8" i="3"/>
  <c r="F11" i="4"/>
  <c r="E11" i="4"/>
  <c r="D11" i="4"/>
  <c r="F10" i="4"/>
  <c r="E10" i="4"/>
  <c r="D10" i="4"/>
  <c r="E9" i="4"/>
  <c r="G9" i="4"/>
  <c r="D9" i="4"/>
  <c r="F9" i="4"/>
  <c r="E8" i="4"/>
  <c r="F8" i="4"/>
  <c r="G8" i="4"/>
  <c r="D8" i="4"/>
  <c r="G7" i="4"/>
  <c r="F7" i="4"/>
  <c r="E7" i="4"/>
  <c r="D7" i="4"/>
  <c r="G6" i="4"/>
  <c r="F6" i="4"/>
  <c r="E6" i="4"/>
  <c r="D6" i="4"/>
  <c r="G5" i="4"/>
  <c r="F5" i="4"/>
  <c r="E5" i="4"/>
  <c r="D5" i="4"/>
  <c r="F4" i="4"/>
  <c r="E4" i="4"/>
  <c r="G4" i="4"/>
  <c r="D4" i="4"/>
  <c r="F3" i="4"/>
  <c r="D3" i="4"/>
  <c r="G3" i="4"/>
  <c r="D13" i="4" s="1"/>
  <c r="E3" i="4"/>
  <c r="E2" i="4"/>
  <c r="F2" i="4"/>
  <c r="D2" i="4"/>
  <c r="AF42" i="2"/>
  <c r="AG42" i="2" s="1"/>
  <c r="AF39" i="2"/>
  <c r="AG39" i="2" s="1"/>
  <c r="AF38" i="2"/>
  <c r="AG38" i="2" s="1"/>
  <c r="AF35" i="2"/>
  <c r="AG35" i="2" s="1"/>
  <c r="AF32" i="2"/>
  <c r="AG32" i="2" s="1"/>
  <c r="AF22" i="2"/>
  <c r="AG22" i="2" s="1"/>
  <c r="AF41" i="2"/>
  <c r="AG41" i="2" s="1"/>
  <c r="AF31" i="2"/>
  <c r="AG31" i="2" s="1"/>
  <c r="AF30" i="2"/>
  <c r="AF29" i="2"/>
  <c r="AG29" i="2" s="1"/>
  <c r="AF28" i="2"/>
  <c r="AG28" i="2" s="1"/>
  <c r="AF27" i="2"/>
  <c r="AG27" i="2" s="1"/>
  <c r="AF61" i="2"/>
  <c r="AG61" i="2" s="1"/>
  <c r="AF25" i="2"/>
  <c r="AG25" i="2" s="1"/>
  <c r="AF24" i="2"/>
  <c r="AG24" i="2" s="1"/>
  <c r="AF23" i="2"/>
  <c r="AG23" i="2" s="1"/>
  <c r="AF21" i="2"/>
  <c r="AG21" i="2" s="1"/>
  <c r="AF20" i="2"/>
  <c r="AG20" i="2" s="1"/>
  <c r="AF19" i="2"/>
  <c r="AG19" i="2" s="1"/>
  <c r="AF18" i="2"/>
  <c r="AF17" i="2"/>
  <c r="AF16" i="2"/>
  <c r="AF15" i="2"/>
  <c r="AF14" i="2"/>
  <c r="AF13" i="2"/>
  <c r="AF12" i="2"/>
  <c r="AF10" i="2"/>
  <c r="AG10" i="2" s="1"/>
  <c r="AF9" i="2"/>
  <c r="AG9" i="2" s="1"/>
  <c r="AF8" i="2"/>
  <c r="AG8" i="2" s="1"/>
  <c r="AF7" i="2"/>
  <c r="AG7" i="2" s="1"/>
  <c r="AF6" i="2"/>
  <c r="AG6" i="2" s="1"/>
  <c r="AF5" i="2"/>
  <c r="AG5" i="2" s="1"/>
  <c r="AF4" i="2"/>
  <c r="AG4" i="2" s="1"/>
  <c r="AF3" i="2"/>
  <c r="AG3" i="2" s="1"/>
  <c r="AF2" i="2"/>
  <c r="AG2" i="2" s="1"/>
  <c r="AF60" i="2"/>
  <c r="AG60" i="2" s="1"/>
  <c r="AF59" i="2"/>
  <c r="AG59" i="2" s="1"/>
  <c r="AF58" i="2"/>
  <c r="AG58" i="2" s="1"/>
  <c r="AF57" i="2"/>
  <c r="AG57" i="2" s="1"/>
  <c r="AF56" i="2"/>
  <c r="AF55" i="2"/>
  <c r="AF54" i="2"/>
  <c r="AF53" i="2"/>
  <c r="AF52" i="2"/>
  <c r="AF40" i="2"/>
  <c r="AG40" i="2" s="1"/>
  <c r="AF37" i="2"/>
  <c r="AG37" i="2" s="1"/>
  <c r="AF34" i="2"/>
  <c r="AG34" i="2" s="1"/>
  <c r="AF33" i="2"/>
  <c r="AG33" i="2" s="1"/>
  <c r="AF26" i="2"/>
  <c r="AG26" i="2" s="1"/>
  <c r="AF36" i="2"/>
  <c r="AG36" i="2" s="1"/>
  <c r="AF51" i="2"/>
  <c r="AG51" i="2" s="1"/>
  <c r="AF50" i="2"/>
  <c r="AG50" i="2" s="1"/>
  <c r="AF49" i="2"/>
  <c r="AG49" i="2" s="1"/>
  <c r="AF48" i="2"/>
  <c r="AG48" i="2" s="1"/>
  <c r="AF47" i="2"/>
  <c r="AG47" i="2" s="1"/>
  <c r="AF11" i="2"/>
  <c r="AG11" i="2" s="1"/>
  <c r="AF46" i="2"/>
  <c r="AG46" i="2" s="1"/>
  <c r="AF45" i="2"/>
  <c r="AG45" i="2" s="1"/>
  <c r="AF44" i="2"/>
  <c r="AG44" i="2" s="1"/>
  <c r="AF43" i="2"/>
  <c r="AG43" i="2" s="1"/>
  <c r="AG30" i="2" l="1"/>
  <c r="AG18" i="2"/>
  <c r="AG17" i="2"/>
  <c r="AG16" i="2"/>
  <c r="AG15" i="2"/>
  <c r="AG14" i="2"/>
  <c r="AG13" i="2"/>
  <c r="AG12" i="2"/>
  <c r="AG56" i="2"/>
  <c r="AG55" i="2"/>
  <c r="AG54" i="2"/>
  <c r="AG53" i="2"/>
  <c r="AG52" i="2"/>
</calcChain>
</file>

<file path=xl/sharedStrings.xml><?xml version="1.0" encoding="utf-8"?>
<sst xmlns="http://schemas.openxmlformats.org/spreadsheetml/2006/main" count="720" uniqueCount="305">
  <si>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</si>
  <si>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</si>
  <si>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</si>
  <si>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/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</si>
  <si>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</si>
  <si>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</si>
  <si>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</si>
  <si>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</si>
  <si>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</si>
  <si>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</si>
  <si>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</si>
  <si>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</si>
  <si>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</si>
  <si>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</si>
  <si>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</si>
  <si>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</si>
  <si>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</si>
  <si>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</si>
  <si>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</si>
  <si>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</si>
  <si>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</si>
  <si>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</si>
  <si>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</si>
  <si>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</si>
  <si>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</si>
  <si>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</si>
  <si>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</si>
  <si>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</si>
  <si>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</si>
  <si>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</si>
  <si>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</si>
  <si>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</si>
  <si>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</si>
  <si>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</si>
  <si>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</si>
  <si>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</si>
  <si>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</si>
  <si>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</si>
  <si>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</si>
  <si>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</si>
  <si>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</si>
  <si>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</si>
  <si>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</si>
  <si>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</si>
  <si>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</si>
  <si>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</si>
  <si>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</si>
  <si>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</si>
  <si>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</si>
  <si>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</si>
  <si>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</si>
  <si>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</si>
  <si>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</si>
  <si>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</si>
  <si>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</si>
  <si>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</si>
  <si>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</si>
  <si>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</si>
  <si>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</si>
  <si>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</si>
  <si>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</si>
  <si>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</si>
  <si>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</si>
  <si>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</si>
  <si>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</si>
  <si>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</si>
  <si>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</si>
  <si>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</si>
  <si>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</si>
  <si>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</si>
  <si>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</si>
  <si>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</si>
  <si>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</si>
  <si>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</si>
  <si>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</si>
  <si>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</si>
  <si>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</si>
  <si>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</si>
  <si>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</si>
  <si>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</si>
  <si>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</si>
  <si>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</si>
  <si>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</si>
  <si>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</si>
  <si>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</si>
  <si>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</si>
  <si>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</si>
  <si>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</si>
  <si>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</si>
  <si>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</si>
  <si>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</si>
  <si>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</si>
  <si>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</si>
  <si>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</si>
  <si>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</si>
  <si>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</si>
  <si>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</si>
  <si>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</si>
  <si>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</si>
  <si>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</si>
  <si>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</si>
  <si>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</si>
  <si>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</si>
  <si>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</si>
  <si>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</si>
  <si>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</si>
  <si>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</si>
  <si>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</si>
  <si>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</si>
  <si>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</si>
  <si>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</si>
  <si>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</si>
  <si>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</si>
  <si>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</si>
  <si>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</si>
  <si>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M-base, seed 1</t>
  </si>
  <si>
    <t>CE</t>
  </si>
  <si>
    <t>SGD+momentum</t>
  </si>
  <si>
    <t>256-128</t>
  </si>
  <si>
    <t>none</t>
  </si>
  <si>
    <t>fp32</t>
  </si>
  <si>
    <t>he</t>
  </si>
  <si>
    <t>figures/base-s1.png</t>
  </si>
  <si>
    <t>base-s2</t>
  </si>
  <si>
    <t>Baseline M-base, seed 2</t>
  </si>
  <si>
    <t>figures/base-s2.png</t>
  </si>
  <si>
    <t>base-s3</t>
  </si>
  <si>
    <t>Baseline M-base, seed 3</t>
  </si>
  <si>
    <t>figures/base-s3.png</t>
  </si>
  <si>
    <t>loss-mse</t>
  </si>
  <si>
    <t>MSE trên one-hot thay cho CE</t>
  </si>
  <si>
    <t>MSE</t>
  </si>
  <si>
    <t>figures/loss-mse.png</t>
  </si>
  <si>
    <t>MSE = mean((logit-onehot)^2) trên mọi phần tử (B x 7), không hệ số 1/2. Loss khác thang đo với CE: chỉ so acc/macro-F1.</t>
  </si>
  <si>
    <t>opt-sgdm-lr0.01</t>
  </si>
  <si>
    <t>SGD+momentum, lr=0.01 (dò lr cho baseline)</t>
  </si>
  <si>
    <t>figures/opt-sgdm-lr0.01.png</t>
  </si>
  <si>
    <t>Dò lr của baseline bằng val; cấu hình còn lại giống baseline.</t>
  </si>
  <si>
    <t>opt-sgdm-lr0.03</t>
  </si>
  <si>
    <t>SGD+momentum, lr=0.03 (dò lr cho baseline)</t>
  </si>
  <si>
    <t>figures/opt-sgdm-lr0.03.png</t>
  </si>
  <si>
    <t>opt-sgdm-lr0.1</t>
  </si>
  <si>
    <t>SGD+momentum, lr=0.1 (dò lr cho baseline)</t>
  </si>
  <si>
    <t>figures/opt-sgdm-lr0.1.png</t>
  </si>
  <si>
    <t>opt-sgdm-lr0.3</t>
  </si>
  <si>
    <t>SGD+momentum, lr=0.3 (dò lr cho baseline)</t>
  </si>
  <si>
    <t>figures/opt-sgdm-lr0.3.png</t>
  </si>
  <si>
    <t>opt-sgd-lr0.1</t>
  </si>
  <si>
    <t>SGD, lr=0.1</t>
  </si>
  <si>
    <t>SGD</t>
  </si>
  <si>
    <t>figures/opt-sgd-lr0.1.png</t>
  </si>
  <si>
    <t>momentum=0</t>
  </si>
  <si>
    <t>opt-sgd-lr0.3</t>
  </si>
  <si>
    <t>SGD, lr=0.3</t>
  </si>
  <si>
    <t>figures/opt-sgd-lr0.3.png</t>
  </si>
  <si>
    <t>opt-sgd-lr1</t>
  </si>
  <si>
    <t>SGD, lr=1</t>
  </si>
  <si>
    <t>figures/opt-sgd-lr1.png</t>
  </si>
  <si>
    <t>opt-sgd-lr3</t>
  </si>
  <si>
    <t>SGD, lr=3</t>
  </si>
  <si>
    <t>figures/opt-sgd-lr3.png</t>
  </si>
  <si>
    <t>opt-adam-lr0.0003</t>
  </si>
  <si>
    <t>Adam, lr=0.0003</t>
  </si>
  <si>
    <t>figures/opt-adam-lr0.0003.png</t>
  </si>
  <si>
    <t>betas=(0.9,0.999), eps=1e-8</t>
  </si>
  <si>
    <t>opt-adam-lr0.001</t>
  </si>
  <si>
    <t>Adam, lr=0.001</t>
  </si>
  <si>
    <t>figures/opt-adam-lr0.001.png</t>
  </si>
  <si>
    <t>opt-adam-lr0.003</t>
  </si>
  <si>
    <t>Adam, lr=0.003</t>
  </si>
  <si>
    <t>figures/opt-adam-lr0.003.png</t>
  </si>
  <si>
    <t>opt-adam-lr0.01</t>
  </si>
  <si>
    <t>Adam, lr=0.01</t>
  </si>
  <si>
    <t>figures/opt-adam-lr0.01.png</t>
  </si>
  <si>
    <t>opt-adamw-lr0.0003</t>
  </si>
  <si>
    <t>AdamW, lr=0.0003, weight_decay=0.01</t>
  </si>
  <si>
    <t>AdamW</t>
  </si>
  <si>
    <t>figures/opt-adamw-lr0.0003.png</t>
  </si>
  <si>
    <t>opt-adamw-lr0.001</t>
  </si>
  <si>
    <t>AdamW, lr=0.001, weight_decay=0.01</t>
  </si>
  <si>
    <t>figures/opt-adamw-lr0.001.png</t>
  </si>
  <si>
    <t>opt-adamw-lr0.003</t>
  </si>
  <si>
    <t>AdamW, lr=0.003, weight_decay=0.01</t>
  </si>
  <si>
    <t>figures/opt-adamw-lr0.003.png</t>
  </si>
  <si>
    <t>opt-adamw-lr0.01</t>
  </si>
  <si>
    <t>AdamW, lr=0.01, weight_decay=0.01</t>
  </si>
  <si>
    <t>figures/opt-adamw-lr0.01.png</t>
  </si>
  <si>
    <t>opt-adamw-wd0-lr0.001</t>
  </si>
  <si>
    <t>AdamW, lr=1e-3, weight_decay=0 (kiểm chứng trùng Adam)</t>
  </si>
  <si>
    <t>figures/opt-adamw-wd0-lr0.001.png</t>
  </si>
  <si>
    <t>Kiểm chứng AdamW(wd=0) ≡ Adam.</t>
  </si>
  <si>
    <t>hp-bs128</t>
  </si>
  <si>
    <t>hparam</t>
  </si>
  <si>
    <t>batch 128 (số bước/epoch ×4)</t>
  </si>
  <si>
    <t>figures/hp-bs128.png</t>
  </si>
  <si>
    <t>hp-bs2048</t>
  </si>
  <si>
    <t>batch 2048 (số bước/epoch ÷4)</t>
  </si>
  <si>
    <t>figures/hp-bs2048.png</t>
  </si>
  <si>
    <t>hp-bs2048-lrx4</t>
  </si>
  <si>
    <t>batch 2048 và lr ×4 = 1.2 (đổi HAI yếu tố: quy tắc tăng lr theo lô)</t>
  </si>
  <si>
    <t>figures/hp-bs2048-lrx4.png</t>
  </si>
  <si>
    <t>hp-wide</t>
  </si>
  <si>
    <t>M-wide 54-512-256-7 (161 287 tham số)</t>
  </si>
  <si>
    <t>512-256</t>
  </si>
  <si>
    <t>figures/hp-wide.png</t>
  </si>
  <si>
    <t>hp-deep</t>
  </si>
  <si>
    <t>M-deep 54-256-128-64-7 (55 687 tham số)</t>
  </si>
  <si>
    <t>256-128-64</t>
  </si>
  <si>
    <t>figures/hp-deep.png</t>
  </si>
  <si>
    <t>hp-wd1e-4</t>
  </si>
  <si>
    <t>weight decay 1e-4 (L2 trong SGD)</t>
  </si>
  <si>
    <t>figures/hp-wd1e-4.png</t>
  </si>
  <si>
    <t>hp-cosine</t>
  </si>
  <si>
    <t>lịch lr cosine về 0 trong 20 epoch</t>
  </si>
  <si>
    <t>figures/hp-cosine.png</t>
  </si>
  <si>
    <t>scheduler=cosine</t>
  </si>
  <si>
    <t>drop-0.1</t>
  </si>
  <si>
    <t>dropout q=0.1 sau ReLU của mỗi lớp ẩn</t>
  </si>
  <si>
    <t>figures/drop-0.1.png</t>
  </si>
  <si>
    <t>drop-0.3</t>
  </si>
  <si>
    <t>dropout q=0.3 sau ReLU của mỗi lớp ẩn</t>
  </si>
  <si>
    <t>figures/drop-0.3.png</t>
  </si>
  <si>
    <t>drop-0.5</t>
  </si>
  <si>
    <t>dropout q=0.5 sau ReLU của mỗi lớp ẩn</t>
  </si>
  <si>
    <t>figures/drop-0.5.png</t>
  </si>
  <si>
    <t>clip-c0.35</t>
  </si>
  <si>
    <t>clipping</t>
  </si>
  <si>
    <t>clip c=0.35 (trung vị grad_norm của baseline), lr bình thường</t>
  </si>
  <si>
    <t>figures/clip-c0.35.png</t>
  </si>
  <si>
    <t>c chọn = trung vị grad_norm theo bước của base-s1.</t>
  </si>
  <si>
    <t>clip-highlr3-none</t>
  </si>
  <si>
    <t>lr ×10 = 3, KHÔNG clip (tìm lr gây mất ổn định)</t>
  </si>
  <si>
    <t>figures/clip-highlr3-none.png</t>
  </si>
  <si>
    <t>Đối chứng lr cao không clip.</t>
  </si>
  <si>
    <t>clip-highlr3-c0.35</t>
  </si>
  <si>
    <t>lr = 3 CÓ clip c=0.35</t>
  </si>
  <si>
    <t>figures/clip-highlr3-c0.35.png</t>
  </si>
  <si>
    <t>Phép thử phản chứng: cùng lr cao, có clip. Đổi HAI yếu tố so với baseline (lr và clip); so với clip-highlr-none ở cùng lr.</t>
  </si>
  <si>
    <t>clip-highlr3-c0.035</t>
  </si>
  <si>
    <t>lr = 3 CÓ clip c=0.035 (= c/10: cùng độ dài bước tối đa với lr bình thường)</t>
  </si>
  <si>
    <t>figures/clip-highlr3-c0.035.png</t>
  </si>
  <si>
    <t>Đổi HAI yếu tố so với baseline (lr và clip); so với clip-highlr-none ở cùng lr.</t>
  </si>
  <si>
    <t>amp-fp16</t>
  </si>
  <si>
    <t>amp</t>
  </si>
  <si>
    <t>mixed precision FP16 + GradScaler</t>
  </si>
  <si>
    <t>fp16</t>
  </si>
  <si>
    <t>figures/amp-fp16.png</t>
  </si>
  <si>
    <t>autocast trên cuda.</t>
  </si>
  <si>
    <t>amp-bf16</t>
  </si>
  <si>
    <t>mixed precision BF16 (không GradScaler)</t>
  </si>
  <si>
    <t>bf16</t>
  </si>
  <si>
    <t>figures/amp-bf16.png</t>
  </si>
  <si>
    <t>init-zeros</t>
  </si>
  <si>
    <t>khởi tạo zeros thay cho he</t>
  </si>
  <si>
    <t>zeros</t>
  </si>
  <si>
    <t>figures/init-zeros.png</t>
  </si>
  <si>
    <t>init-normal</t>
  </si>
  <si>
    <t>khởi tạo normal thay cho he</t>
  </si>
  <si>
    <t>normal</t>
  </si>
  <si>
    <t>figures/init-normal.png</t>
  </si>
  <si>
    <t>init-xavier</t>
  </si>
  <si>
    <t>khởi tạo xavier thay cho he</t>
  </si>
  <si>
    <t>xavier</t>
  </si>
  <si>
    <t>figures/init-xavier.png</t>
  </si>
  <si>
    <t>init-default</t>
  </si>
  <si>
    <t>khởi tạo default thay cho he</t>
  </si>
  <si>
    <t>default</t>
  </si>
  <si>
    <t>figures/init-default.png</t>
  </si>
  <si>
    <t>final-s1</t>
  </si>
  <si>
    <t>final</t>
  </si>
  <si>
    <t>Cấu hình cuối cùng (tổ hợp chọn bằng val), seed 1</t>
  </si>
  <si>
    <t>figures/final-s1.png</t>
  </si>
  <si>
    <t>Cấu hình cuối, đổi NHIỀU yếu tố so với baseline, chọn bằng val: optimizer=adam, lr=0.003, wd=0 (từ opt-adam-lr0.003, val macro-F1 0.8677); hidden=(512, 256) (từ hp-wide, +0.0140 &gt; 2σ); không dropout (tốt nhất là drop-0.1: -0.0222, không vượt 2σ); lịch cosine (+0.0340 &gt; 2σ); epochs=20 (base-s1 đạt best ở epoch 19); scheduler=cosine</t>
  </si>
  <si>
    <t>final-s2</t>
  </si>
  <si>
    <t>Cấu hình cuối cùng (tổ hợp chọn bằng val), seed 2</t>
  </si>
  <si>
    <t>figures/final-s2.png</t>
  </si>
  <si>
    <t>final-s3</t>
  </si>
  <si>
    <t>Cấu hình cuối cùng (tổ hợp chọn bằng val), seed 3</t>
  </si>
  <si>
    <t>figures/final-s3.png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</si>
  <si>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</si>
  <si>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</si>
  <si>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</si>
  <si>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</si>
  <si>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</si>
  <si>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</si>
  <si>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</si>
  <si>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</si>
  <si>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</si>
  <si>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</si>
  <si>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</si>
  <si>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</si>
  <si>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</si>
  <si>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</si>
  <si>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SGD+momentum lr=0.3 (chọn bằng val). 3 seed: val macro-F1 TB 0.8607, σ 0.0030, 2σ 0.0060. Train/val loss còn giảm: chưa khớp hết.</t>
  </si>
  <si>
    <t>MSE kém CE 0.088 macro-F1 (≈15×2σ): grad_norm nhỏ hơn ~5 lần, chưa hội tụ sau 20 epoch. Chỉ so acc/macro-F1, không so loss.</t>
  </si>
  <si>
    <t>Ở lr tốt nhất: Adam 0.8677 ≳ AdamW 0.8646 ≈ SGD+momentum 0.8573 &gt; SGD 0.8344. Adam hơn TB baseline 0.0070, sát ngưỡng 2σ. AdamW(wd=0) ≡ Adam.</t>
  </si>
  <si>
    <t>Cosine +0.034 và M-wide +0.014 vượt 2σ. Batch 128, M-deep, wd 1e-4 đều kém hơn ở lr cố định. Batch 2048 với lr×4 (không warmup) sụp về lớp đa số.</t>
  </si>
  <si>
    <t>Mô hình chưa quá khớp nên dropout chỉ làm kém đi: q=0.1/0.3/0.5 → -0.022/-0.078/-0.282; khoảng cách val-train thu hẹp vì train loss tăng.</t>
  </si>
  <si>
    <t>lr thường: clip c=0.35 (66.6% bước) không đổi kết quả. lr×10: không clip → sụp; c=0.35 không cứu (0.19); c=0.035 (giữ lr·c) cứu hoàn toàn (0.8549).</t>
  </si>
  <si>
    <t>T4: FP16 chậm hơn FP32 38%, BF16 chậm hơn 20% (mạng quá nhỏ). FP16 ngang FP32; BF16 -0.0087 (sát ngưỡng, 1 seed). peak_mem không giảm.</t>
  </si>
  <si>
    <t>zeros: chỉ học bias lớp ra → đoán lớp đa số (0.0936). normal/default trong nhiễu, xavier -0.0105. Mạng 3 lớp quá nông để phân biệt He/Xavier.</t>
  </si>
  <si>
    <t>Adam lr=3e-3 + M-wide + cosine, 20 epoch (chọn bằng val). 3 seed: val macro-F1 0.9131 ± 0.0008 (+0.0524). Eval final-s1: 0.9158 (baseline 0.8565).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</si>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</sst>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7109375" defaultRowHeight="15" x14ac:dyDescent="0.25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45" customHeight="1" x14ac:dyDescent="0.25">
      <c r="A1" s="1" t="s">
        <v>0</v>
      </c>
    </row>
    <row r="2" spans="1:2" ht="15" customHeight="1" x14ac:dyDescent="0.25">
      <c r="A2" s="2" t="s">
        <v>1</v>
      </c>
    </row>
    <row r="4" spans="1:2" ht="15" customHeight="1" x14ac:dyDescent="0.25">
      <c r="A4" s="3" t="s">
        <v>2</v>
      </c>
    </row>
    <row r="5" spans="1:2" ht="15" customHeight="1" x14ac:dyDescent="0.25">
      <c r="A5" s="4" t="s">
        <v>3</v>
      </c>
      <c r="B5" s="2" t="s">
        <v>4</v>
      </c>
    </row>
    <row r="6" spans="1:2" ht="15" customHeight="1" x14ac:dyDescent="0.25">
      <c r="A6" s="5" t="s">
        <v>5</v>
      </c>
      <c r="B6" s="2" t="s">
        <v>6</v>
      </c>
    </row>
    <row r="7" spans="1:2" ht="15" customHeight="1" x14ac:dyDescent="0.25">
      <c r="A7" s="6" t="s">
        <v>3</v>
      </c>
      <c r="B7" s="2" t="s">
        <v>7</v>
      </c>
    </row>
    <row r="9" spans="1:2" ht="15" customHeight="1" x14ac:dyDescent="0.25">
      <c r="A9" s="3" t="s">
        <v>8</v>
      </c>
    </row>
    <row r="10" spans="1:2" ht="15" customHeight="1" x14ac:dyDescent="0.25">
      <c r="A10" s="2" t="s">
        <v>9</v>
      </c>
    </row>
    <row r="11" spans="1:2" ht="15" customHeight="1" x14ac:dyDescent="0.25">
      <c r="A11" s="2" t="s">
        <v>10</v>
      </c>
    </row>
    <row r="12" spans="1:2" ht="15" customHeight="1" x14ac:dyDescent="0.25">
      <c r="A12" s="2" t="s">
        <v>11</v>
      </c>
    </row>
    <row r="13" spans="1:2" ht="15" customHeight="1" x14ac:dyDescent="0.25">
      <c r="A13" s="2" t="s">
        <v>12</v>
      </c>
    </row>
    <row r="14" spans="1:2" ht="15" customHeight="1" x14ac:dyDescent="0.25">
      <c r="A14" s="2" t="s">
        <v>13</v>
      </c>
    </row>
    <row r="16" spans="1:2" ht="15" customHeight="1" x14ac:dyDescent="0.25">
      <c r="A16" s="3" t="s">
        <v>14</v>
      </c>
    </row>
    <row r="17" spans="1:3" ht="15" customHeight="1" x14ac:dyDescent="0.25">
      <c r="A17" s="7" t="s">
        <v>15</v>
      </c>
      <c r="B17" s="7" t="s">
        <v>16</v>
      </c>
      <c r="C17" s="7" t="s">
        <v>17</v>
      </c>
    </row>
    <row r="18" spans="1:3" ht="15" customHeight="1" x14ac:dyDescent="0.25">
      <c r="A18" s="8" t="s">
        <v>18</v>
      </c>
      <c r="B18" s="9" t="s">
        <v>19</v>
      </c>
      <c r="C18" s="9" t="s">
        <v>20</v>
      </c>
    </row>
    <row r="19" spans="1:3" ht="23.85" customHeight="1" x14ac:dyDescent="0.25">
      <c r="A19" s="8" t="s">
        <v>21</v>
      </c>
      <c r="B19" s="9" t="s">
        <v>22</v>
      </c>
      <c r="C19" s="9" t="s">
        <v>23</v>
      </c>
    </row>
    <row r="20" spans="1:3" ht="15" customHeight="1" x14ac:dyDescent="0.25">
      <c r="A20" s="8" t="s">
        <v>24</v>
      </c>
      <c r="B20" s="9" t="s">
        <v>25</v>
      </c>
      <c r="C20" s="9" t="s">
        <v>26</v>
      </c>
    </row>
    <row r="21" spans="1:3" ht="15" customHeight="1" x14ac:dyDescent="0.25">
      <c r="A21" s="8" t="s">
        <v>27</v>
      </c>
      <c r="B21" s="9" t="s">
        <v>28</v>
      </c>
      <c r="C21" s="9" t="s">
        <v>23</v>
      </c>
    </row>
    <row r="22" spans="1:3" ht="15" customHeight="1" x14ac:dyDescent="0.25">
      <c r="A22" s="8" t="s">
        <v>29</v>
      </c>
      <c r="B22" s="9" t="s">
        <v>30</v>
      </c>
      <c r="C22" s="9" t="s">
        <v>23</v>
      </c>
    </row>
    <row r="23" spans="1:3" ht="15" customHeight="1" x14ac:dyDescent="0.25">
      <c r="A23" s="8" t="s">
        <v>31</v>
      </c>
      <c r="B23" s="9" t="s">
        <v>32</v>
      </c>
      <c r="C23" s="9" t="s">
        <v>33</v>
      </c>
    </row>
    <row r="24" spans="1:3" ht="15" customHeight="1" x14ac:dyDescent="0.25">
      <c r="A24" s="8" t="s">
        <v>34</v>
      </c>
      <c r="B24" s="9" t="s">
        <v>35</v>
      </c>
      <c r="C24" s="9" t="s">
        <v>36</v>
      </c>
    </row>
    <row r="25" spans="1:3" ht="15" customHeight="1" x14ac:dyDescent="0.25">
      <c r="A25" s="8" t="s">
        <v>37</v>
      </c>
      <c r="B25" s="9" t="s">
        <v>38</v>
      </c>
      <c r="C25" s="9" t="s">
        <v>39</v>
      </c>
    </row>
    <row r="26" spans="1:3" ht="15" customHeight="1" x14ac:dyDescent="0.25">
      <c r="A26" s="8" t="s">
        <v>40</v>
      </c>
      <c r="B26" s="9" t="s">
        <v>41</v>
      </c>
      <c r="C26" s="9" t="s">
        <v>42</v>
      </c>
    </row>
    <row r="27" spans="1:3" ht="15" customHeight="1" x14ac:dyDescent="0.25">
      <c r="A27" s="8" t="s">
        <v>43</v>
      </c>
      <c r="B27" s="9" t="s">
        <v>44</v>
      </c>
      <c r="C27" s="9" t="s">
        <v>45</v>
      </c>
    </row>
    <row r="28" spans="1:3" ht="15" customHeight="1" x14ac:dyDescent="0.25">
      <c r="A28" s="8" t="s">
        <v>46</v>
      </c>
      <c r="B28" s="9" t="s">
        <v>47</v>
      </c>
      <c r="C28" s="9" t="s">
        <v>36</v>
      </c>
    </row>
    <row r="29" spans="1:3" ht="15" customHeight="1" x14ac:dyDescent="0.25">
      <c r="A29" s="8" t="s">
        <v>48</v>
      </c>
      <c r="B29" s="9" t="s">
        <v>49</v>
      </c>
      <c r="C29" s="9" t="s">
        <v>50</v>
      </c>
    </row>
    <row r="30" spans="1:3" ht="15" customHeight="1" x14ac:dyDescent="0.25">
      <c r="A30" s="8" t="s">
        <v>51</v>
      </c>
      <c r="B30" s="9" t="s">
        <v>52</v>
      </c>
      <c r="C30" s="9" t="s">
        <v>23</v>
      </c>
    </row>
    <row r="31" spans="1:3" ht="15" customHeight="1" x14ac:dyDescent="0.25">
      <c r="A31" s="8" t="s">
        <v>53</v>
      </c>
      <c r="B31" s="9" t="s">
        <v>54</v>
      </c>
      <c r="C31" s="9" t="s">
        <v>55</v>
      </c>
    </row>
    <row r="32" spans="1:3" ht="15" customHeight="1" x14ac:dyDescent="0.25">
      <c r="A32" s="8" t="s">
        <v>56</v>
      </c>
      <c r="B32" s="9" t="s">
        <v>57</v>
      </c>
      <c r="C32" s="9" t="s">
        <v>39</v>
      </c>
    </row>
    <row r="33" spans="1:3" ht="15" customHeight="1" x14ac:dyDescent="0.25">
      <c r="A33" s="8" t="s">
        <v>58</v>
      </c>
      <c r="B33" s="9" t="s">
        <v>59</v>
      </c>
      <c r="C33" s="9" t="s">
        <v>60</v>
      </c>
    </row>
    <row r="34" spans="1:3" ht="15" customHeight="1" x14ac:dyDescent="0.25">
      <c r="A34" s="8" t="s">
        <v>61</v>
      </c>
      <c r="B34" s="9" t="s">
        <v>62</v>
      </c>
      <c r="C34" s="9"/>
    </row>
    <row r="35" spans="1:3" ht="15" customHeight="1" x14ac:dyDescent="0.25">
      <c r="A35" s="8" t="s">
        <v>63</v>
      </c>
      <c r="B35" s="9" t="s">
        <v>64</v>
      </c>
      <c r="C35" s="9" t="s">
        <v>65</v>
      </c>
    </row>
    <row r="36" spans="1:3" ht="15" customHeight="1" x14ac:dyDescent="0.25">
      <c r="A36" s="8" t="s">
        <v>66</v>
      </c>
      <c r="B36" s="9" t="s">
        <v>67</v>
      </c>
      <c r="C36" s="9"/>
    </row>
    <row r="37" spans="1:3" ht="15" customHeight="1" x14ac:dyDescent="0.25">
      <c r="A37" s="8" t="s">
        <v>68</v>
      </c>
      <c r="B37" s="9" t="s">
        <v>69</v>
      </c>
      <c r="C37" s="9"/>
    </row>
    <row r="38" spans="1:3" ht="15" customHeight="1" x14ac:dyDescent="0.25">
      <c r="A38" s="8" t="s">
        <v>70</v>
      </c>
      <c r="B38" s="9" t="s">
        <v>71</v>
      </c>
      <c r="C38" s="9" t="s">
        <v>72</v>
      </c>
    </row>
    <row r="39" spans="1:3" ht="15" customHeight="1" x14ac:dyDescent="0.25">
      <c r="A39" s="8" t="s">
        <v>73</v>
      </c>
      <c r="B39" s="9" t="s">
        <v>74</v>
      </c>
      <c r="C39" s="9" t="s">
        <v>75</v>
      </c>
    </row>
    <row r="40" spans="1:3" ht="15" customHeight="1" x14ac:dyDescent="0.25">
      <c r="A40" s="8" t="s">
        <v>76</v>
      </c>
      <c r="B40" s="9" t="s">
        <v>77</v>
      </c>
      <c r="C40" s="9" t="s">
        <v>78</v>
      </c>
    </row>
    <row r="41" spans="1:3" ht="15" customHeight="1" x14ac:dyDescent="0.25">
      <c r="A41" s="8" t="s">
        <v>79</v>
      </c>
      <c r="B41" s="9" t="s">
        <v>80</v>
      </c>
      <c r="C41" s="9" t="s">
        <v>81</v>
      </c>
    </row>
    <row r="42" spans="1:3" ht="15" customHeight="1" x14ac:dyDescent="0.25">
      <c r="A42" s="8" t="s">
        <v>82</v>
      </c>
      <c r="B42" s="9" t="s">
        <v>83</v>
      </c>
      <c r="C42" s="9" t="s">
        <v>23</v>
      </c>
    </row>
    <row r="43" spans="1:3" ht="23.85" customHeight="1" x14ac:dyDescent="0.25">
      <c r="A43" s="8" t="s">
        <v>84</v>
      </c>
      <c r="B43" s="9" t="s">
        <v>85</v>
      </c>
      <c r="C43" s="9" t="s">
        <v>86</v>
      </c>
    </row>
    <row r="44" spans="1:3" ht="23.85" customHeight="1" x14ac:dyDescent="0.25">
      <c r="A44" s="8" t="s">
        <v>87</v>
      </c>
      <c r="B44" s="9" t="s">
        <v>88</v>
      </c>
      <c r="C44" s="9" t="s">
        <v>86</v>
      </c>
    </row>
    <row r="45" spans="1:3" ht="15" customHeight="1" x14ac:dyDescent="0.25">
      <c r="A45" s="8" t="s">
        <v>89</v>
      </c>
      <c r="B45" s="9" t="s">
        <v>90</v>
      </c>
      <c r="C45" s="9" t="s">
        <v>91</v>
      </c>
    </row>
    <row r="46" spans="1:3" ht="15" customHeight="1" x14ac:dyDescent="0.25">
      <c r="A46" s="8" t="s">
        <v>92</v>
      </c>
      <c r="B46" s="9" t="s">
        <v>93</v>
      </c>
      <c r="C46" s="9" t="s">
        <v>94</v>
      </c>
    </row>
    <row r="47" spans="1:3" ht="15" customHeight="1" x14ac:dyDescent="0.25">
      <c r="A47" s="8" t="s">
        <v>95</v>
      </c>
      <c r="B47" s="9" t="s">
        <v>96</v>
      </c>
      <c r="C47" s="9" t="s">
        <v>97</v>
      </c>
    </row>
    <row r="48" spans="1:3" ht="15" customHeight="1" x14ac:dyDescent="0.25">
      <c r="A48" s="8" t="s">
        <v>98</v>
      </c>
      <c r="B48" s="9" t="s">
        <v>99</v>
      </c>
      <c r="C48" s="9" t="s">
        <v>100</v>
      </c>
    </row>
    <row r="49" spans="1:12" ht="15" customHeight="1" x14ac:dyDescent="0.25">
      <c r="A49" s="8" t="s">
        <v>101</v>
      </c>
      <c r="B49" s="9" t="s">
        <v>102</v>
      </c>
      <c r="C49" s="9" t="s">
        <v>103</v>
      </c>
    </row>
    <row r="50" spans="1:12" ht="15" customHeight="1" x14ac:dyDescent="0.25">
      <c r="A50" s="8" t="s">
        <v>104</v>
      </c>
      <c r="B50" s="9" t="s">
        <v>105</v>
      </c>
      <c r="C50" s="9" t="s">
        <v>106</v>
      </c>
    </row>
    <row r="52" spans="1:12" ht="15" customHeight="1" x14ac:dyDescent="0.25">
      <c r="A52" s="3" t="s">
        <v>107</v>
      </c>
    </row>
    <row r="53" spans="1:12" ht="23.85" customHeight="1" x14ac:dyDescent="0.25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25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25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25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25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>
        <v>0.3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2.2690617883937119</v>
      </c>
      <c r="Q2" s="14">
        <v>0.2318148942179499</v>
      </c>
      <c r="R2" s="13">
        <v>19</v>
      </c>
      <c r="S2" s="14">
        <v>0.20775265319824221</v>
      </c>
      <c r="T2" s="14">
        <v>0.2338693074280771</v>
      </c>
      <c r="U2" s="14">
        <v>0.90897355908865984</v>
      </c>
      <c r="V2" s="14">
        <v>0.85734636390348418</v>
      </c>
      <c r="W2" s="13">
        <v>1.2905317246999859</v>
      </c>
      <c r="X2" s="13">
        <v>173.03173828125</v>
      </c>
      <c r="Y2" s="13" t="s">
        <v>110</v>
      </c>
      <c r="Z2" s="14">
        <v>0.90892661979466971</v>
      </c>
      <c r="AA2" s="14">
        <v>0.85645671159365555</v>
      </c>
      <c r="AB2" s="13" t="s">
        <v>122</v>
      </c>
      <c r="AC2" s="13"/>
      <c r="AD2" s="15">
        <f t="shared" ref="AD2:AD33" si="0">IF(P2="","",P2-LN(7))</f>
        <v>0.32315163933839863</v>
      </c>
      <c r="AE2" s="15">
        <f t="shared" ref="AE2:AE33" si="1">IF(OR(T2="",S2=""),"",T2-S2)</f>
        <v>2.611665422983489E-2</v>
      </c>
      <c r="AF2" s="15">
        <f>IF(OR(V2="",Seeds!$C$8=""),"",V2-Seeds!$C$8)</f>
        <v>-3.3619679090198806E-3</v>
      </c>
      <c r="AG2" s="15" t="str">
        <f>IF(OR(AF2="",Seeds!$C$10=""),"",IF(ABS(AF2)&gt;Seeds!$C$10,"Có","Không"))</f>
        <v>Không</v>
      </c>
    </row>
    <row r="3" spans="1:33" ht="15" customHeight="1" x14ac:dyDescent="0.25">
      <c r="A3" s="13" t="s">
        <v>123</v>
      </c>
      <c r="B3" s="13" t="s">
        <v>114</v>
      </c>
      <c r="C3" s="13" t="s">
        <v>124</v>
      </c>
      <c r="D3" s="13" t="s">
        <v>116</v>
      </c>
      <c r="E3" s="13" t="s">
        <v>117</v>
      </c>
      <c r="F3" s="13">
        <v>0.3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1.978156701881548</v>
      </c>
      <c r="Q3" s="14">
        <v>0.21448845043770401</v>
      </c>
      <c r="R3" s="13">
        <v>16</v>
      </c>
      <c r="S3" s="14">
        <v>0.19950362976074221</v>
      </c>
      <c r="T3" s="14">
        <v>0.22512977123927319</v>
      </c>
      <c r="U3" s="14">
        <v>0.91435210085841523</v>
      </c>
      <c r="V3" s="14">
        <v>0.86176691866067223</v>
      </c>
      <c r="W3" s="13">
        <v>1.290608407500019</v>
      </c>
      <c r="X3" s="13">
        <v>173.21484375</v>
      </c>
      <c r="Y3" s="13" t="s">
        <v>110</v>
      </c>
      <c r="Z3" s="14"/>
      <c r="AA3" s="14"/>
      <c r="AB3" s="13" t="s">
        <v>125</v>
      </c>
      <c r="AC3" s="13"/>
      <c r="AD3" s="15">
        <f t="shared" si="0"/>
        <v>3.2246552826234787E-2</v>
      </c>
      <c r="AE3" s="15">
        <f t="shared" si="1"/>
        <v>2.5626141478530984E-2</v>
      </c>
      <c r="AF3" s="15">
        <f>IF(OR(V3="",Seeds!$C$8=""),"",V3-Seeds!$C$8)</f>
        <v>1.0585868481681748E-3</v>
      </c>
      <c r="AG3" s="15" t="str">
        <f>IF(OR(AF3="",Seeds!$C$10=""),"",IF(ABS(AF3)&gt;Seeds!$C$10,"Có","Không"))</f>
        <v>Không</v>
      </c>
    </row>
    <row r="4" spans="1:33" ht="15" customHeight="1" x14ac:dyDescent="0.25">
      <c r="A4" s="13" t="s">
        <v>126</v>
      </c>
      <c r="B4" s="13" t="s">
        <v>114</v>
      </c>
      <c r="C4" s="13" t="s">
        <v>127</v>
      </c>
      <c r="D4" s="13" t="s">
        <v>116</v>
      </c>
      <c r="E4" s="13" t="s">
        <v>117</v>
      </c>
      <c r="F4" s="13">
        <v>0.3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1.9005399530688609</v>
      </c>
      <c r="Q4" s="14">
        <v>0.22079248285337691</v>
      </c>
      <c r="R4" s="13">
        <v>18</v>
      </c>
      <c r="S4" s="14">
        <v>0.21029870056152339</v>
      </c>
      <c r="T4" s="14">
        <v>0.23369082742646191</v>
      </c>
      <c r="U4" s="14">
        <v>0.91207159914803904</v>
      </c>
      <c r="V4" s="14">
        <v>0.86301171287335599</v>
      </c>
      <c r="W4" s="13">
        <v>1.2735786133499969</v>
      </c>
      <c r="X4" s="13">
        <v>173.39794921875</v>
      </c>
      <c r="Y4" s="13" t="s">
        <v>110</v>
      </c>
      <c r="Z4" s="14"/>
      <c r="AA4" s="14"/>
      <c r="AB4" s="13" t="s">
        <v>128</v>
      </c>
      <c r="AC4" s="13"/>
      <c r="AD4" s="15">
        <f t="shared" si="0"/>
        <v>-4.5370195986452311E-2</v>
      </c>
      <c r="AE4" s="15">
        <f t="shared" si="1"/>
        <v>2.3392126864938523E-2</v>
      </c>
      <c r="AF4" s="15">
        <f>IF(OR(V4="",Seeds!$C$8=""),"",V4-Seeds!$C$8)</f>
        <v>2.3033810608519278E-3</v>
      </c>
      <c r="AG4" s="15" t="str">
        <f>IF(OR(AF4="",Seeds!$C$10=""),"",IF(ABS(AF4)&gt;Seeds!$C$10,"Có","Không"))</f>
        <v>Không</v>
      </c>
    </row>
    <row r="5" spans="1:33" ht="15" customHeight="1" x14ac:dyDescent="0.25">
      <c r="A5" s="13" t="s">
        <v>129</v>
      </c>
      <c r="B5" s="13" t="s">
        <v>27</v>
      </c>
      <c r="C5" s="13" t="s">
        <v>130</v>
      </c>
      <c r="D5" s="13" t="s">
        <v>131</v>
      </c>
      <c r="E5" s="13" t="s">
        <v>117</v>
      </c>
      <c r="F5" s="13">
        <v>0.3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1</v>
      </c>
      <c r="P5" s="14">
        <v>0.63585037024957103</v>
      </c>
      <c r="Q5" s="14">
        <v>2.738364366919686E-2</v>
      </c>
      <c r="R5" s="13">
        <v>20</v>
      </c>
      <c r="S5" s="14">
        <v>2.6473559188842768E-2</v>
      </c>
      <c r="T5" s="14">
        <v>2.738364366919686E-2</v>
      </c>
      <c r="U5" s="14">
        <v>0.88030593145586367</v>
      </c>
      <c r="V5" s="14">
        <v>0.77261302042848268</v>
      </c>
      <c r="W5" s="13">
        <v>1.41482845049996</v>
      </c>
      <c r="X5" s="13">
        <v>173.5810546875</v>
      </c>
      <c r="Y5" s="13" t="s">
        <v>110</v>
      </c>
      <c r="Z5" s="14"/>
      <c r="AA5" s="14"/>
      <c r="AB5" s="13" t="s">
        <v>132</v>
      </c>
      <c r="AC5" s="13" t="s">
        <v>133</v>
      </c>
      <c r="AD5" s="15">
        <f t="shared" si="0"/>
        <v>-1.3100597788057422</v>
      </c>
      <c r="AE5" s="15">
        <f t="shared" si="1"/>
        <v>9.1008448035409181E-4</v>
      </c>
      <c r="AF5" s="15">
        <f>IF(OR(V5="",Seeds!$C$8=""),"",V5-Seeds!$C$8)</f>
        <v>-8.809531138402138E-2</v>
      </c>
      <c r="AG5" s="15" t="str">
        <f>IF(OR(AF5="",Seeds!$C$10=""),"",IF(ABS(AF5)&gt;Seeds!$C$10,"Có","Không"))</f>
        <v>Có</v>
      </c>
    </row>
    <row r="6" spans="1:33" ht="15" customHeight="1" x14ac:dyDescent="0.25">
      <c r="A6" s="13" t="s">
        <v>134</v>
      </c>
      <c r="B6" s="13" t="s">
        <v>29</v>
      </c>
      <c r="C6" s="13" t="s">
        <v>135</v>
      </c>
      <c r="D6" s="13" t="s">
        <v>116</v>
      </c>
      <c r="E6" s="13" t="s">
        <v>117</v>
      </c>
      <c r="F6" s="13">
        <v>0.01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2.2690617883937119</v>
      </c>
      <c r="Q6" s="14">
        <v>0.31097343958418489</v>
      </c>
      <c r="R6" s="13">
        <v>20</v>
      </c>
      <c r="S6" s="14">
        <v>0.30255603210449222</v>
      </c>
      <c r="T6" s="14">
        <v>0.31097343958418489</v>
      </c>
      <c r="U6" s="14">
        <v>0.87466921968116007</v>
      </c>
      <c r="V6" s="14">
        <v>0.76125335572489505</v>
      </c>
      <c r="W6" s="13">
        <v>1.3131439927999911</v>
      </c>
      <c r="X6" s="13">
        <v>172.29931640625</v>
      </c>
      <c r="Y6" s="13" t="s">
        <v>110</v>
      </c>
      <c r="Z6" s="14"/>
      <c r="AA6" s="14"/>
      <c r="AB6" s="13" t="s">
        <v>136</v>
      </c>
      <c r="AC6" s="13" t="s">
        <v>137</v>
      </c>
      <c r="AD6" s="15">
        <f t="shared" si="0"/>
        <v>0.32315163933839863</v>
      </c>
      <c r="AE6" s="15">
        <f t="shared" si="1"/>
        <v>8.4174074796926623E-3</v>
      </c>
      <c r="AF6" s="15">
        <f>IF(OR(V6="",Seeds!$C$8=""),"",V6-Seeds!$C$8)</f>
        <v>-9.9454976087609004E-2</v>
      </c>
      <c r="AG6" s="15" t="str">
        <f>IF(OR(AF6="",Seeds!$C$10=""),"",IF(ABS(AF6)&gt;Seeds!$C$10,"Có","Không"))</f>
        <v>Có</v>
      </c>
    </row>
    <row r="7" spans="1:33" ht="15" customHeight="1" x14ac:dyDescent="0.25">
      <c r="A7" s="13" t="s">
        <v>138</v>
      </c>
      <c r="B7" s="13" t="s">
        <v>29</v>
      </c>
      <c r="C7" s="13" t="s">
        <v>139</v>
      </c>
      <c r="D7" s="13" t="s">
        <v>116</v>
      </c>
      <c r="E7" s="13" t="s">
        <v>117</v>
      </c>
      <c r="F7" s="13">
        <v>0.03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 t="s">
        <v>119</v>
      </c>
      <c r="M7" s="13" t="s">
        <v>120</v>
      </c>
      <c r="N7" s="13" t="s">
        <v>121</v>
      </c>
      <c r="O7" s="13">
        <v>1</v>
      </c>
      <c r="P7" s="14">
        <v>2.2690617883937119</v>
      </c>
      <c r="Q7" s="14">
        <v>0.26597268280655001</v>
      </c>
      <c r="R7" s="13">
        <v>20</v>
      </c>
      <c r="S7" s="14">
        <v>0.25044437011718751</v>
      </c>
      <c r="T7" s="14">
        <v>0.26597268280655001</v>
      </c>
      <c r="U7" s="14">
        <v>0.89213872334932554</v>
      </c>
      <c r="V7" s="14">
        <v>0.81695815257688797</v>
      </c>
      <c r="W7" s="13">
        <v>1.298373864149988</v>
      </c>
      <c r="X7" s="13">
        <v>172.482421875</v>
      </c>
      <c r="Y7" s="13" t="s">
        <v>110</v>
      </c>
      <c r="Z7" s="14"/>
      <c r="AA7" s="14"/>
      <c r="AB7" s="13" t="s">
        <v>140</v>
      </c>
      <c r="AC7" s="13" t="s">
        <v>137</v>
      </c>
      <c r="AD7" s="15">
        <f t="shared" si="0"/>
        <v>0.32315163933839863</v>
      </c>
      <c r="AE7" s="15">
        <f t="shared" si="1"/>
        <v>1.55283126893625E-2</v>
      </c>
      <c r="AF7" s="15">
        <f>IF(OR(V7="",Seeds!$C$8=""),"",V7-Seeds!$C$8)</f>
        <v>-4.3750179235616082E-2</v>
      </c>
      <c r="AG7" s="15" t="str">
        <f>IF(OR(AF7="",Seeds!$C$10=""),"",IF(ABS(AF7)&gt;Seeds!$C$10,"Có","Không"))</f>
        <v>Có</v>
      </c>
    </row>
    <row r="8" spans="1:33" ht="15" customHeight="1" x14ac:dyDescent="0.25">
      <c r="A8" s="13" t="s">
        <v>141</v>
      </c>
      <c r="B8" s="13" t="s">
        <v>29</v>
      </c>
      <c r="C8" s="13" t="s">
        <v>142</v>
      </c>
      <c r="D8" s="13" t="s">
        <v>116</v>
      </c>
      <c r="E8" s="13" t="s">
        <v>117</v>
      </c>
      <c r="F8" s="13">
        <v>0.1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 t="s">
        <v>119</v>
      </c>
      <c r="M8" s="13" t="s">
        <v>120</v>
      </c>
      <c r="N8" s="13" t="s">
        <v>121</v>
      </c>
      <c r="O8" s="13">
        <v>1</v>
      </c>
      <c r="P8" s="14">
        <v>2.2690617883937119</v>
      </c>
      <c r="Q8" s="14">
        <v>0.2379235743460702</v>
      </c>
      <c r="R8" s="13">
        <v>18</v>
      </c>
      <c r="S8" s="14">
        <v>0.22218498291015629</v>
      </c>
      <c r="T8" s="14">
        <v>0.2425536006353739</v>
      </c>
      <c r="U8" s="14">
        <v>0.9053806931864633</v>
      </c>
      <c r="V8" s="14">
        <v>0.83903575635587135</v>
      </c>
      <c r="W8" s="13">
        <v>1.2831966617499859</v>
      </c>
      <c r="X8" s="13">
        <v>172.66552734375</v>
      </c>
      <c r="Y8" s="13" t="s">
        <v>110</v>
      </c>
      <c r="Z8" s="14"/>
      <c r="AA8" s="14"/>
      <c r="AB8" s="13" t="s">
        <v>143</v>
      </c>
      <c r="AC8" s="13" t="s">
        <v>137</v>
      </c>
      <c r="AD8" s="15">
        <f t="shared" si="0"/>
        <v>0.32315163933839863</v>
      </c>
      <c r="AE8" s="15">
        <f t="shared" si="1"/>
        <v>2.0368617725217614E-2</v>
      </c>
      <c r="AF8" s="15">
        <f>IF(OR(V8="",Seeds!$C$8=""),"",V8-Seeds!$C$8)</f>
        <v>-2.1672575456632703E-2</v>
      </c>
      <c r="AG8" s="15" t="str">
        <f>IF(OR(AF8="",Seeds!$C$10=""),"",IF(ABS(AF8)&gt;Seeds!$C$10,"Có","Không"))</f>
        <v>Có</v>
      </c>
    </row>
    <row r="9" spans="1:33" ht="15" customHeight="1" x14ac:dyDescent="0.25">
      <c r="A9" s="13" t="s">
        <v>144</v>
      </c>
      <c r="B9" s="13" t="s">
        <v>29</v>
      </c>
      <c r="C9" s="13" t="s">
        <v>145</v>
      </c>
      <c r="D9" s="13" t="s">
        <v>116</v>
      </c>
      <c r="E9" s="13" t="s">
        <v>117</v>
      </c>
      <c r="F9" s="13">
        <v>0.3</v>
      </c>
      <c r="G9" s="13">
        <v>0</v>
      </c>
      <c r="H9" s="13">
        <v>512</v>
      </c>
      <c r="I9" s="13">
        <v>20</v>
      </c>
      <c r="J9" s="13" t="s">
        <v>118</v>
      </c>
      <c r="K9" s="13">
        <v>0</v>
      </c>
      <c r="L9" s="13" t="s">
        <v>119</v>
      </c>
      <c r="M9" s="13" t="s">
        <v>120</v>
      </c>
      <c r="N9" s="13" t="s">
        <v>121</v>
      </c>
      <c r="O9" s="13">
        <v>1</v>
      </c>
      <c r="P9" s="14">
        <v>2.2690617883937119</v>
      </c>
      <c r="Q9" s="14">
        <v>0.2318148942179499</v>
      </c>
      <c r="R9" s="13">
        <v>19</v>
      </c>
      <c r="S9" s="14">
        <v>0.20775265319824221</v>
      </c>
      <c r="T9" s="14">
        <v>0.2338693074280771</v>
      </c>
      <c r="U9" s="14">
        <v>0.90897355908865984</v>
      </c>
      <c r="V9" s="14">
        <v>0.85734636390348418</v>
      </c>
      <c r="W9" s="13">
        <v>1.2858654177000171</v>
      </c>
      <c r="X9" s="13">
        <v>172.8486328125</v>
      </c>
      <c r="Y9" s="13" t="s">
        <v>110</v>
      </c>
      <c r="Z9" s="14"/>
      <c r="AA9" s="14"/>
      <c r="AB9" s="13" t="s">
        <v>146</v>
      </c>
      <c r="AC9" s="13" t="s">
        <v>137</v>
      </c>
      <c r="AD9" s="15">
        <f t="shared" si="0"/>
        <v>0.32315163933839863</v>
      </c>
      <c r="AE9" s="15">
        <f t="shared" si="1"/>
        <v>2.611665422983489E-2</v>
      </c>
      <c r="AF9" s="15">
        <f>IF(OR(V9="",Seeds!$C$8=""),"",V9-Seeds!$C$8)</f>
        <v>-3.3619679090198806E-3</v>
      </c>
      <c r="AG9" s="15" t="str">
        <f>IF(OR(AF9="",Seeds!$C$10=""),"",IF(ABS(AF9)&gt;Seeds!$C$10,"Có","Không"))</f>
        <v>Không</v>
      </c>
    </row>
    <row r="10" spans="1:33" ht="15" customHeight="1" x14ac:dyDescent="0.25">
      <c r="A10" s="13" t="s">
        <v>147</v>
      </c>
      <c r="B10" s="13" t="s">
        <v>29</v>
      </c>
      <c r="C10" s="13" t="s">
        <v>148</v>
      </c>
      <c r="D10" s="13" t="s">
        <v>116</v>
      </c>
      <c r="E10" s="13" t="s">
        <v>149</v>
      </c>
      <c r="F10" s="13">
        <v>0.1</v>
      </c>
      <c r="G10" s="13">
        <v>0</v>
      </c>
      <c r="H10" s="13">
        <v>512</v>
      </c>
      <c r="I10" s="13">
        <v>20</v>
      </c>
      <c r="J10" s="13" t="s">
        <v>118</v>
      </c>
      <c r="K10" s="13">
        <v>0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2.2690617883937119</v>
      </c>
      <c r="Q10" s="14">
        <v>0.34747575895426358</v>
      </c>
      <c r="R10" s="13">
        <v>18</v>
      </c>
      <c r="S10" s="14">
        <v>0.43637859008789059</v>
      </c>
      <c r="T10" s="14">
        <v>0.44369148944931802</v>
      </c>
      <c r="U10" s="14">
        <v>0.85798498311137883</v>
      </c>
      <c r="V10" s="14">
        <v>0.7550546033103368</v>
      </c>
      <c r="W10" s="13">
        <v>1.2378577988500179</v>
      </c>
      <c r="X10" s="13">
        <v>173.5810546875</v>
      </c>
      <c r="Y10" s="13" t="s">
        <v>110</v>
      </c>
      <c r="Z10" s="14"/>
      <c r="AA10" s="14"/>
      <c r="AB10" s="13" t="s">
        <v>150</v>
      </c>
      <c r="AC10" s="13" t="s">
        <v>151</v>
      </c>
      <c r="AD10" s="15">
        <f t="shared" si="0"/>
        <v>0.32315163933839863</v>
      </c>
      <c r="AE10" s="15">
        <f t="shared" si="1"/>
        <v>7.3128993614274274E-3</v>
      </c>
      <c r="AF10" s="15">
        <f>IF(OR(V10="",Seeds!$C$8=""),"",V10-Seeds!$C$8)</f>
        <v>-0.10565372850216725</v>
      </c>
      <c r="AG10" s="15" t="str">
        <f>IF(OR(AF10="",Seeds!$C$10=""),"",IF(ABS(AF10)&gt;Seeds!$C$10,"Có","Không"))</f>
        <v>Có</v>
      </c>
    </row>
    <row r="11" spans="1:33" ht="15" customHeight="1" x14ac:dyDescent="0.25">
      <c r="A11" s="13" t="s">
        <v>152</v>
      </c>
      <c r="B11" s="13" t="s">
        <v>29</v>
      </c>
      <c r="C11" s="13" t="s">
        <v>153</v>
      </c>
      <c r="D11" s="13" t="s">
        <v>116</v>
      </c>
      <c r="E11" s="13" t="s">
        <v>149</v>
      </c>
      <c r="F11" s="13">
        <v>0.3</v>
      </c>
      <c r="G11" s="13">
        <v>0</v>
      </c>
      <c r="H11" s="13">
        <v>512</v>
      </c>
      <c r="I11" s="13">
        <v>20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2.2690617883937119</v>
      </c>
      <c r="Q11" s="14">
        <v>0.28029282441178921</v>
      </c>
      <c r="R11" s="13">
        <v>18</v>
      </c>
      <c r="S11" s="14">
        <v>0.32274766052246101</v>
      </c>
      <c r="T11" s="14">
        <v>0.33265066143772959</v>
      </c>
      <c r="U11" s="14">
        <v>0.88714743658699258</v>
      </c>
      <c r="V11" s="14">
        <v>0.81634157286628672</v>
      </c>
      <c r="W11" s="13">
        <v>1.2481649491500439</v>
      </c>
      <c r="X11" s="13">
        <v>173.76416015625</v>
      </c>
      <c r="Y11" s="13" t="s">
        <v>110</v>
      </c>
      <c r="Z11" s="14"/>
      <c r="AA11" s="14"/>
      <c r="AB11" s="13" t="s">
        <v>154</v>
      </c>
      <c r="AC11" s="13" t="s">
        <v>151</v>
      </c>
      <c r="AD11" s="15">
        <f t="shared" si="0"/>
        <v>0.32315163933839863</v>
      </c>
      <c r="AE11" s="15">
        <f t="shared" si="1"/>
        <v>9.9030009152685783E-3</v>
      </c>
      <c r="AF11" s="15">
        <f>IF(OR(V11="",Seeds!$C$8=""),"",V11-Seeds!$C$8)</f>
        <v>-4.4366758946217333E-2</v>
      </c>
      <c r="AG11" s="15" t="str">
        <f>IF(OR(AF11="",Seeds!$C$10=""),"",IF(ABS(AF11)&gt;Seeds!$C$10,"Có","Không"))</f>
        <v>Có</v>
      </c>
    </row>
    <row r="12" spans="1:33" ht="15" customHeight="1" x14ac:dyDescent="0.25">
      <c r="A12" s="13" t="s">
        <v>155</v>
      </c>
      <c r="B12" s="13" t="s">
        <v>29</v>
      </c>
      <c r="C12" s="13" t="s">
        <v>156</v>
      </c>
      <c r="D12" s="13" t="s">
        <v>116</v>
      </c>
      <c r="E12" s="13" t="s">
        <v>149</v>
      </c>
      <c r="F12" s="13">
        <v>1</v>
      </c>
      <c r="G12" s="13">
        <v>0</v>
      </c>
      <c r="H12" s="13">
        <v>512</v>
      </c>
      <c r="I12" s="13">
        <v>20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1</v>
      </c>
      <c r="P12" s="14">
        <v>2.2690617883937119</v>
      </c>
      <c r="Q12" s="14">
        <v>0.2522195203920688</v>
      </c>
      <c r="R12" s="13">
        <v>18</v>
      </c>
      <c r="S12" s="14">
        <v>0.27841876586914061</v>
      </c>
      <c r="T12" s="14">
        <v>0.30048563767571018</v>
      </c>
      <c r="U12" s="14">
        <v>0.89996988016608936</v>
      </c>
      <c r="V12" s="14">
        <v>0.8343885270933179</v>
      </c>
      <c r="W12" s="13">
        <v>1.317014109050046</v>
      </c>
      <c r="X12" s="13">
        <v>173.947265625</v>
      </c>
      <c r="Y12" s="13" t="s">
        <v>110</v>
      </c>
      <c r="Z12" s="14"/>
      <c r="AA12" s="14"/>
      <c r="AB12" s="13" t="s">
        <v>157</v>
      </c>
      <c r="AC12" s="13" t="s">
        <v>151</v>
      </c>
      <c r="AD12" s="15">
        <f t="shared" si="0"/>
        <v>0.32315163933839863</v>
      </c>
      <c r="AE12" s="15">
        <f t="shared" si="1"/>
        <v>2.2066871806569577E-2</v>
      </c>
      <c r="AF12" s="15">
        <f>IF(OR(V12="",Seeds!$C$8=""),"",V12-Seeds!$C$8)</f>
        <v>-2.6319804719186157E-2</v>
      </c>
      <c r="AG12" s="15" t="str">
        <f>IF(OR(AF12="",Seeds!$C$10=""),"",IF(ABS(AF12)&gt;Seeds!$C$10,"Có","Không"))</f>
        <v>Có</v>
      </c>
    </row>
    <row r="13" spans="1:33" ht="15" customHeight="1" x14ac:dyDescent="0.25">
      <c r="A13" s="13" t="s">
        <v>158</v>
      </c>
      <c r="B13" s="13" t="s">
        <v>29</v>
      </c>
      <c r="C13" s="13" t="s">
        <v>159</v>
      </c>
      <c r="D13" s="13" t="s">
        <v>116</v>
      </c>
      <c r="E13" s="13" t="s">
        <v>149</v>
      </c>
      <c r="F13" s="13">
        <v>3</v>
      </c>
      <c r="G13" s="13">
        <v>0</v>
      </c>
      <c r="H13" s="13">
        <v>512</v>
      </c>
      <c r="I13" s="13">
        <v>20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1</v>
      </c>
      <c r="P13" s="14">
        <v>2.2690617883937119</v>
      </c>
      <c r="Q13" s="14">
        <v>0.36980497076636493</v>
      </c>
      <c r="R13" s="13">
        <v>18</v>
      </c>
      <c r="S13" s="14">
        <v>0.35930330017089851</v>
      </c>
      <c r="T13" s="14">
        <v>0.37040824329598382</v>
      </c>
      <c r="U13" s="14">
        <v>0.85113272089671044</v>
      </c>
      <c r="V13" s="14">
        <v>0.61547933940372945</v>
      </c>
      <c r="W13" s="13">
        <v>1.2634962403500141</v>
      </c>
      <c r="X13" s="13">
        <v>174.13037109375</v>
      </c>
      <c r="Y13" s="13" t="s">
        <v>110</v>
      </c>
      <c r="Z13" s="14"/>
      <c r="AA13" s="14"/>
      <c r="AB13" s="13" t="s">
        <v>160</v>
      </c>
      <c r="AC13" s="13" t="s">
        <v>151</v>
      </c>
      <c r="AD13" s="15">
        <f t="shared" si="0"/>
        <v>0.32315163933839863</v>
      </c>
      <c r="AE13" s="15">
        <f t="shared" si="1"/>
        <v>1.1104943125085309E-2</v>
      </c>
      <c r="AF13" s="15">
        <f>IF(OR(V13="",Seeds!$C$8=""),"",V13-Seeds!$C$8)</f>
        <v>-0.2452289924087746</v>
      </c>
      <c r="AG13" s="15" t="str">
        <f>IF(OR(AF13="",Seeds!$C$10=""),"",IF(ABS(AF13)&gt;Seeds!$C$10,"Có","Không"))</f>
        <v>Có</v>
      </c>
    </row>
    <row r="14" spans="1:33" ht="15" customHeight="1" x14ac:dyDescent="0.25">
      <c r="A14" s="13" t="s">
        <v>161</v>
      </c>
      <c r="B14" s="13" t="s">
        <v>29</v>
      </c>
      <c r="C14" s="13" t="s">
        <v>162</v>
      </c>
      <c r="D14" s="13" t="s">
        <v>116</v>
      </c>
      <c r="E14" s="13" t="s">
        <v>109</v>
      </c>
      <c r="F14" s="13">
        <v>2.9999999999999997E-4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121</v>
      </c>
      <c r="O14" s="13">
        <v>1</v>
      </c>
      <c r="P14" s="14">
        <v>2.2690617883937119</v>
      </c>
      <c r="Q14" s="14">
        <v>0.31350808658502599</v>
      </c>
      <c r="R14" s="13">
        <v>20</v>
      </c>
      <c r="S14" s="14">
        <v>0.30420785217285162</v>
      </c>
      <c r="T14" s="14">
        <v>0.31350808658502599</v>
      </c>
      <c r="U14" s="14">
        <v>0.87265764505927157</v>
      </c>
      <c r="V14" s="14">
        <v>0.7877390598660482</v>
      </c>
      <c r="W14" s="13">
        <v>1.4034547758000371</v>
      </c>
      <c r="X14" s="13">
        <v>174.6796875</v>
      </c>
      <c r="Y14" s="13" t="s">
        <v>110</v>
      </c>
      <c r="Z14" s="14"/>
      <c r="AA14" s="14"/>
      <c r="AB14" s="13" t="s">
        <v>163</v>
      </c>
      <c r="AC14" s="13" t="s">
        <v>164</v>
      </c>
      <c r="AD14" s="15">
        <f t="shared" si="0"/>
        <v>0.32315163933839863</v>
      </c>
      <c r="AE14" s="15">
        <f t="shared" si="1"/>
        <v>9.3002344121743685E-3</v>
      </c>
      <c r="AF14" s="15">
        <f>IF(OR(V14="",Seeds!$C$8=""),"",V14-Seeds!$C$8)</f>
        <v>-7.296927194645586E-2</v>
      </c>
      <c r="AG14" s="15" t="str">
        <f>IF(OR(AF14="",Seeds!$C$10=""),"",IF(ABS(AF14)&gt;Seeds!$C$10,"Có","Không"))</f>
        <v>Có</v>
      </c>
    </row>
    <row r="15" spans="1:33" ht="15" customHeight="1" x14ac:dyDescent="0.25">
      <c r="A15" s="13" t="s">
        <v>165</v>
      </c>
      <c r="B15" s="13" t="s">
        <v>29</v>
      </c>
      <c r="C15" s="13" t="s">
        <v>166</v>
      </c>
      <c r="D15" s="13" t="s">
        <v>116</v>
      </c>
      <c r="E15" s="13" t="s">
        <v>109</v>
      </c>
      <c r="F15" s="13">
        <v>1E-3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121</v>
      </c>
      <c r="O15" s="13">
        <v>1</v>
      </c>
      <c r="P15" s="14">
        <v>2.2690617883937119</v>
      </c>
      <c r="Q15" s="14">
        <v>0.24941062422515381</v>
      </c>
      <c r="R15" s="13">
        <v>19</v>
      </c>
      <c r="S15" s="14">
        <v>0.23624173828125</v>
      </c>
      <c r="T15" s="14">
        <v>0.25285249373883112</v>
      </c>
      <c r="U15" s="14">
        <v>0.89933521223725821</v>
      </c>
      <c r="V15" s="14">
        <v>0.84555584468696399</v>
      </c>
      <c r="W15" s="13">
        <v>1.4174149840999799</v>
      </c>
      <c r="X15" s="13">
        <v>174.86279296875</v>
      </c>
      <c r="Y15" s="13" t="s">
        <v>110</v>
      </c>
      <c r="Z15" s="14"/>
      <c r="AA15" s="14"/>
      <c r="AB15" s="13" t="s">
        <v>167</v>
      </c>
      <c r="AC15" s="13" t="s">
        <v>164</v>
      </c>
      <c r="AD15" s="15">
        <f t="shared" si="0"/>
        <v>0.32315163933839863</v>
      </c>
      <c r="AE15" s="15">
        <f t="shared" si="1"/>
        <v>1.6610755457581117E-2</v>
      </c>
      <c r="AF15" s="15">
        <f>IF(OR(V15="",Seeds!$C$8=""),"",V15-Seeds!$C$8)</f>
        <v>-1.5152487125540071E-2</v>
      </c>
      <c r="AG15" s="15" t="str">
        <f>IF(OR(AF15="",Seeds!$C$10=""),"",IF(ABS(AF15)&gt;Seeds!$C$10,"Có","Không"))</f>
        <v>Có</v>
      </c>
    </row>
    <row r="16" spans="1:33" ht="15" customHeight="1" x14ac:dyDescent="0.25">
      <c r="A16" s="13" t="s">
        <v>168</v>
      </c>
      <c r="B16" s="13" t="s">
        <v>29</v>
      </c>
      <c r="C16" s="13" t="s">
        <v>169</v>
      </c>
      <c r="D16" s="13" t="s">
        <v>116</v>
      </c>
      <c r="E16" s="13" t="s">
        <v>109</v>
      </c>
      <c r="F16" s="13">
        <v>3.0000000000000001E-3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1</v>
      </c>
      <c r="P16" s="14">
        <v>2.2690617883937119</v>
      </c>
      <c r="Q16" s="14">
        <v>0.2144964847657847</v>
      </c>
      <c r="R16" s="13">
        <v>19</v>
      </c>
      <c r="S16" s="14">
        <v>0.18826704650878909</v>
      </c>
      <c r="T16" s="14">
        <v>0.21595313136075589</v>
      </c>
      <c r="U16" s="14">
        <v>0.91528796712635274</v>
      </c>
      <c r="V16" s="14">
        <v>0.86774661821115573</v>
      </c>
      <c r="W16" s="13">
        <v>1.446031583300009</v>
      </c>
      <c r="X16" s="13">
        <v>175.0458984375</v>
      </c>
      <c r="Y16" s="13" t="s">
        <v>110</v>
      </c>
      <c r="Z16" s="14"/>
      <c r="AA16" s="14"/>
      <c r="AB16" s="13" t="s">
        <v>170</v>
      </c>
      <c r="AC16" s="13" t="s">
        <v>164</v>
      </c>
      <c r="AD16" s="15">
        <f t="shared" si="0"/>
        <v>0.32315163933839863</v>
      </c>
      <c r="AE16" s="15">
        <f t="shared" si="1"/>
        <v>2.7686084851966802E-2</v>
      </c>
      <c r="AF16" s="15">
        <f>IF(OR(V16="",Seeds!$C$8=""),"",V16-Seeds!$C$8)</f>
        <v>7.0382863986516719E-3</v>
      </c>
      <c r="AG16" s="15" t="str">
        <f>IF(OR(AF16="",Seeds!$C$10=""),"",IF(ABS(AF16)&gt;Seeds!$C$10,"Có","Không"))</f>
        <v>Có</v>
      </c>
    </row>
    <row r="17" spans="1:33" ht="15" customHeight="1" x14ac:dyDescent="0.25">
      <c r="A17" s="13" t="s">
        <v>171</v>
      </c>
      <c r="B17" s="13" t="s">
        <v>29</v>
      </c>
      <c r="C17" s="13" t="s">
        <v>172</v>
      </c>
      <c r="D17" s="13" t="s">
        <v>116</v>
      </c>
      <c r="E17" s="13" t="s">
        <v>109</v>
      </c>
      <c r="F17" s="13">
        <v>0.01</v>
      </c>
      <c r="G17" s="13">
        <v>0</v>
      </c>
      <c r="H17" s="13">
        <v>512</v>
      </c>
      <c r="I17" s="13">
        <v>20</v>
      </c>
      <c r="J17" s="13" t="s">
        <v>118</v>
      </c>
      <c r="K17" s="13">
        <v>0</v>
      </c>
      <c r="L17" s="13" t="s">
        <v>119</v>
      </c>
      <c r="M17" s="13" t="s">
        <v>120</v>
      </c>
      <c r="N17" s="13" t="s">
        <v>121</v>
      </c>
      <c r="O17" s="13">
        <v>1</v>
      </c>
      <c r="P17" s="14">
        <v>2.2690617883937119</v>
      </c>
      <c r="Q17" s="14">
        <v>0.21527641140289511</v>
      </c>
      <c r="R17" s="13">
        <v>20</v>
      </c>
      <c r="S17" s="14">
        <v>0.1859777819824219</v>
      </c>
      <c r="T17" s="14">
        <v>0.21527641140289511</v>
      </c>
      <c r="U17" s="14">
        <v>0.91681547298896326</v>
      </c>
      <c r="V17" s="14">
        <v>0.86389520999390412</v>
      </c>
      <c r="W17" s="13">
        <v>1.418197989999987</v>
      </c>
      <c r="X17" s="13">
        <v>175.22900390625</v>
      </c>
      <c r="Y17" s="13" t="s">
        <v>110</v>
      </c>
      <c r="Z17" s="14"/>
      <c r="AA17" s="14"/>
      <c r="AB17" s="13" t="s">
        <v>173</v>
      </c>
      <c r="AC17" s="13" t="s">
        <v>164</v>
      </c>
      <c r="AD17" s="15">
        <f t="shared" si="0"/>
        <v>0.32315163933839863</v>
      </c>
      <c r="AE17" s="15">
        <f t="shared" si="1"/>
        <v>2.9298629420473205E-2</v>
      </c>
      <c r="AF17" s="15">
        <f>IF(OR(V17="",Seeds!$C$8=""),"",V17-Seeds!$C$8)</f>
        <v>3.1868781814000657E-3</v>
      </c>
      <c r="AG17" s="15" t="str">
        <f>IF(OR(AF17="",Seeds!$C$10=""),"",IF(ABS(AF17)&gt;Seeds!$C$10,"Có","Không"))</f>
        <v>Không</v>
      </c>
    </row>
    <row r="18" spans="1:33" ht="15" customHeight="1" x14ac:dyDescent="0.25">
      <c r="A18" s="13" t="s">
        <v>174</v>
      </c>
      <c r="B18" s="13" t="s">
        <v>29</v>
      </c>
      <c r="C18" s="13" t="s">
        <v>175</v>
      </c>
      <c r="D18" s="13" t="s">
        <v>116</v>
      </c>
      <c r="E18" s="13" t="s">
        <v>176</v>
      </c>
      <c r="F18" s="13">
        <v>2.9999999999999997E-4</v>
      </c>
      <c r="G18" s="13">
        <v>0.01</v>
      </c>
      <c r="H18" s="13">
        <v>512</v>
      </c>
      <c r="I18" s="13">
        <v>20</v>
      </c>
      <c r="J18" s="13" t="s">
        <v>118</v>
      </c>
      <c r="K18" s="13">
        <v>0</v>
      </c>
      <c r="L18" s="13" t="s">
        <v>119</v>
      </c>
      <c r="M18" s="13" t="s">
        <v>120</v>
      </c>
      <c r="N18" s="13" t="s">
        <v>121</v>
      </c>
      <c r="O18" s="13">
        <v>1</v>
      </c>
      <c r="P18" s="14">
        <v>2.2690617883937119</v>
      </c>
      <c r="Q18" s="14">
        <v>0.31523604029948049</v>
      </c>
      <c r="R18" s="13">
        <v>20</v>
      </c>
      <c r="S18" s="14">
        <v>0.30652089782714842</v>
      </c>
      <c r="T18" s="14">
        <v>0.31523604029948049</v>
      </c>
      <c r="U18" s="14">
        <v>0.87126998128267463</v>
      </c>
      <c r="V18" s="14">
        <v>0.78608602999430421</v>
      </c>
      <c r="W18" s="13">
        <v>1.4531282468499971</v>
      </c>
      <c r="X18" s="13">
        <v>175.412109375</v>
      </c>
      <c r="Y18" s="13" t="s">
        <v>110</v>
      </c>
      <c r="Z18" s="14"/>
      <c r="AA18" s="14"/>
      <c r="AB18" s="13" t="s">
        <v>177</v>
      </c>
      <c r="AC18" s="13" t="s">
        <v>164</v>
      </c>
      <c r="AD18" s="15">
        <f t="shared" si="0"/>
        <v>0.32315163933839863</v>
      </c>
      <c r="AE18" s="15">
        <f t="shared" si="1"/>
        <v>8.7151424723320714E-3</v>
      </c>
      <c r="AF18" s="15">
        <f>IF(OR(V18="",Seeds!$C$8=""),"",V18-Seeds!$C$8)</f>
        <v>-7.4622301818199843E-2</v>
      </c>
      <c r="AG18" s="15" t="str">
        <f>IF(OR(AF18="",Seeds!$C$10=""),"",IF(ABS(AF18)&gt;Seeds!$C$10,"Có","Không"))</f>
        <v>Có</v>
      </c>
    </row>
    <row r="19" spans="1:33" ht="15" customHeight="1" x14ac:dyDescent="0.25">
      <c r="A19" s="13" t="s">
        <v>178</v>
      </c>
      <c r="B19" s="13" t="s">
        <v>29</v>
      </c>
      <c r="C19" s="13" t="s">
        <v>179</v>
      </c>
      <c r="D19" s="13" t="s">
        <v>116</v>
      </c>
      <c r="E19" s="13" t="s">
        <v>176</v>
      </c>
      <c r="F19" s="13">
        <v>1E-3</v>
      </c>
      <c r="G19" s="13">
        <v>0.01</v>
      </c>
      <c r="H19" s="13">
        <v>512</v>
      </c>
      <c r="I19" s="13">
        <v>20</v>
      </c>
      <c r="J19" s="13" t="s">
        <v>118</v>
      </c>
      <c r="K19" s="13">
        <v>0</v>
      </c>
      <c r="L19" s="13" t="s">
        <v>119</v>
      </c>
      <c r="M19" s="13" t="s">
        <v>120</v>
      </c>
      <c r="N19" s="13" t="s">
        <v>121</v>
      </c>
      <c r="O19" s="13">
        <v>1</v>
      </c>
      <c r="P19" s="14">
        <v>2.2690617883937119</v>
      </c>
      <c r="Q19" s="14">
        <v>0.25074538171826088</v>
      </c>
      <c r="R19" s="13">
        <v>20</v>
      </c>
      <c r="S19" s="14">
        <v>0.23457145324707029</v>
      </c>
      <c r="T19" s="14">
        <v>0.25074538171826088</v>
      </c>
      <c r="U19" s="14">
        <v>0.90037864934059075</v>
      </c>
      <c r="V19" s="14">
        <v>0.84817407610114615</v>
      </c>
      <c r="W19" s="13">
        <v>1.4481125818000009</v>
      </c>
      <c r="X19" s="13">
        <v>175.59521484375</v>
      </c>
      <c r="Y19" s="13" t="s">
        <v>110</v>
      </c>
      <c r="Z19" s="14"/>
      <c r="AA19" s="14"/>
      <c r="AB19" s="13" t="s">
        <v>180</v>
      </c>
      <c r="AC19" s="13" t="s">
        <v>164</v>
      </c>
      <c r="AD19" s="15">
        <f t="shared" si="0"/>
        <v>0.32315163933839863</v>
      </c>
      <c r="AE19" s="15">
        <f t="shared" si="1"/>
        <v>1.6173928471190591E-2</v>
      </c>
      <c r="AF19" s="15">
        <f>IF(OR(V19="",Seeds!$C$8=""),"",V19-Seeds!$C$8)</f>
        <v>-1.2534255711357911E-2</v>
      </c>
      <c r="AG19" s="15" t="str">
        <f>IF(OR(AF19="",Seeds!$C$10=""),"",IF(ABS(AF19)&gt;Seeds!$C$10,"Có","Không"))</f>
        <v>Có</v>
      </c>
    </row>
    <row r="20" spans="1:33" ht="15" customHeight="1" x14ac:dyDescent="0.25">
      <c r="A20" s="13" t="s">
        <v>181</v>
      </c>
      <c r="B20" s="13" t="s">
        <v>29</v>
      </c>
      <c r="C20" s="13" t="s">
        <v>182</v>
      </c>
      <c r="D20" s="13" t="s">
        <v>116</v>
      </c>
      <c r="E20" s="13" t="s">
        <v>176</v>
      </c>
      <c r="F20" s="13">
        <v>3.0000000000000001E-3</v>
      </c>
      <c r="G20" s="13">
        <v>0.01</v>
      </c>
      <c r="H20" s="13">
        <v>512</v>
      </c>
      <c r="I20" s="13">
        <v>20</v>
      </c>
      <c r="J20" s="13" t="s">
        <v>118</v>
      </c>
      <c r="K20" s="13">
        <v>0</v>
      </c>
      <c r="L20" s="13" t="s">
        <v>119</v>
      </c>
      <c r="M20" s="13" t="s">
        <v>120</v>
      </c>
      <c r="N20" s="13" t="s">
        <v>121</v>
      </c>
      <c r="O20" s="13">
        <v>1</v>
      </c>
      <c r="P20" s="14">
        <v>2.2690617883937119</v>
      </c>
      <c r="Q20" s="14">
        <v>0.2160995725340899</v>
      </c>
      <c r="R20" s="13">
        <v>18</v>
      </c>
      <c r="S20" s="14">
        <v>0.1994376956176758</v>
      </c>
      <c r="T20" s="14">
        <v>0.22035817873667471</v>
      </c>
      <c r="U20" s="14">
        <v>0.9130289795830554</v>
      </c>
      <c r="V20" s="14">
        <v>0.86460728890699745</v>
      </c>
      <c r="W20" s="13">
        <v>1.4570627832000469</v>
      </c>
      <c r="X20" s="13">
        <v>175.7783203125</v>
      </c>
      <c r="Y20" s="13" t="s">
        <v>110</v>
      </c>
      <c r="Z20" s="14"/>
      <c r="AA20" s="14"/>
      <c r="AB20" s="13" t="s">
        <v>183</v>
      </c>
      <c r="AC20" s="13" t="s">
        <v>164</v>
      </c>
      <c r="AD20" s="15">
        <f t="shared" si="0"/>
        <v>0.32315163933839863</v>
      </c>
      <c r="AE20" s="15">
        <f t="shared" si="1"/>
        <v>2.0920483118998912E-2</v>
      </c>
      <c r="AF20" s="15">
        <f>IF(OR(V20="",Seeds!$C$8=""),"",V20-Seeds!$C$8)</f>
        <v>3.8989570944933938E-3</v>
      </c>
      <c r="AG20" s="15" t="str">
        <f>IF(OR(AF20="",Seeds!$C$10=""),"",IF(ABS(AF20)&gt;Seeds!$C$10,"Có","Không"))</f>
        <v>Không</v>
      </c>
    </row>
    <row r="21" spans="1:33" ht="15" customHeight="1" x14ac:dyDescent="0.25">
      <c r="A21" s="13" t="s">
        <v>184</v>
      </c>
      <c r="B21" s="13" t="s">
        <v>29</v>
      </c>
      <c r="C21" s="13" t="s">
        <v>185</v>
      </c>
      <c r="D21" s="13" t="s">
        <v>116</v>
      </c>
      <c r="E21" s="13" t="s">
        <v>176</v>
      </c>
      <c r="F21" s="13">
        <v>0.01</v>
      </c>
      <c r="G21" s="13">
        <v>0.01</v>
      </c>
      <c r="H21" s="13">
        <v>512</v>
      </c>
      <c r="I21" s="13">
        <v>20</v>
      </c>
      <c r="J21" s="13" t="s">
        <v>118</v>
      </c>
      <c r="K21" s="13">
        <v>0</v>
      </c>
      <c r="L21" s="13" t="s">
        <v>119</v>
      </c>
      <c r="M21" s="13" t="s">
        <v>120</v>
      </c>
      <c r="N21" s="13" t="s">
        <v>121</v>
      </c>
      <c r="O21" s="13">
        <v>1</v>
      </c>
      <c r="P21" s="14">
        <v>2.2690617883937119</v>
      </c>
      <c r="Q21" s="14">
        <v>0.23596678836597881</v>
      </c>
      <c r="R21" s="13">
        <v>15</v>
      </c>
      <c r="S21" s="14">
        <v>0.2211625680541992</v>
      </c>
      <c r="T21" s="14">
        <v>0.23663290947132631</v>
      </c>
      <c r="U21" s="14">
        <v>0.90431574191605169</v>
      </c>
      <c r="V21" s="14">
        <v>0.84923316317850917</v>
      </c>
      <c r="W21" s="13">
        <v>1.4982350692000179</v>
      </c>
      <c r="X21" s="13">
        <v>175.96142578125</v>
      </c>
      <c r="Y21" s="13" t="s">
        <v>110</v>
      </c>
      <c r="Z21" s="14"/>
      <c r="AA21" s="14"/>
      <c r="AB21" s="13" t="s">
        <v>186</v>
      </c>
      <c r="AC21" s="13" t="s">
        <v>164</v>
      </c>
      <c r="AD21" s="15">
        <f t="shared" si="0"/>
        <v>0.32315163933839863</v>
      </c>
      <c r="AE21" s="15">
        <f t="shared" si="1"/>
        <v>1.5470341417127109E-2</v>
      </c>
      <c r="AF21" s="15">
        <f>IF(OR(V21="",Seeds!$C$8=""),"",V21-Seeds!$C$8)</f>
        <v>-1.1475168633994892E-2</v>
      </c>
      <c r="AG21" s="15" t="str">
        <f>IF(OR(AF21="",Seeds!$C$10=""),"",IF(ABS(AF21)&gt;Seeds!$C$10,"Có","Không"))</f>
        <v>Có</v>
      </c>
    </row>
    <row r="22" spans="1:33" ht="15" customHeight="1" x14ac:dyDescent="0.25">
      <c r="A22" s="13" t="s">
        <v>187</v>
      </c>
      <c r="B22" s="13" t="s">
        <v>29</v>
      </c>
      <c r="C22" s="13" t="s">
        <v>188</v>
      </c>
      <c r="D22" s="13" t="s">
        <v>116</v>
      </c>
      <c r="E22" s="13" t="s">
        <v>176</v>
      </c>
      <c r="F22" s="13">
        <v>1E-3</v>
      </c>
      <c r="G22" s="13">
        <v>0</v>
      </c>
      <c r="H22" s="13">
        <v>512</v>
      </c>
      <c r="I22" s="13">
        <v>20</v>
      </c>
      <c r="J22" s="13" t="s">
        <v>118</v>
      </c>
      <c r="K22" s="13">
        <v>0</v>
      </c>
      <c r="L22" s="13" t="s">
        <v>119</v>
      </c>
      <c r="M22" s="13" t="s">
        <v>120</v>
      </c>
      <c r="N22" s="13" t="s">
        <v>121</v>
      </c>
      <c r="O22" s="13">
        <v>1</v>
      </c>
      <c r="P22" s="14">
        <v>2.2690617883937119</v>
      </c>
      <c r="Q22" s="14">
        <v>0.24941062422515381</v>
      </c>
      <c r="R22" s="13">
        <v>19</v>
      </c>
      <c r="S22" s="14">
        <v>0.23624173828125</v>
      </c>
      <c r="T22" s="14">
        <v>0.25285249373883112</v>
      </c>
      <c r="U22" s="14">
        <v>0.89933521223725821</v>
      </c>
      <c r="V22" s="14">
        <v>0.84555584468696399</v>
      </c>
      <c r="W22" s="13">
        <v>1.4819067007500051</v>
      </c>
      <c r="X22" s="13">
        <v>176.14453125</v>
      </c>
      <c r="Y22" s="13" t="s">
        <v>110</v>
      </c>
      <c r="Z22" s="14"/>
      <c r="AA22" s="14"/>
      <c r="AB22" s="13" t="s">
        <v>189</v>
      </c>
      <c r="AC22" s="13" t="s">
        <v>190</v>
      </c>
      <c r="AD22" s="15">
        <f t="shared" si="0"/>
        <v>0.32315163933839863</v>
      </c>
      <c r="AE22" s="15">
        <f t="shared" si="1"/>
        <v>1.6610755457581117E-2</v>
      </c>
      <c r="AF22" s="15">
        <f>IF(OR(V22="",Seeds!$C$8=""),"",V22-Seeds!$C$8)</f>
        <v>-1.5152487125540071E-2</v>
      </c>
      <c r="AG22" s="15" t="str">
        <f>IF(OR(AF22="",Seeds!$C$10=""),"",IF(ABS(AF22)&gt;Seeds!$C$10,"Có","Không"))</f>
        <v>Có</v>
      </c>
    </row>
    <row r="23" spans="1:33" ht="15" customHeight="1" x14ac:dyDescent="0.25">
      <c r="A23" s="13" t="s">
        <v>191</v>
      </c>
      <c r="B23" s="13" t="s">
        <v>192</v>
      </c>
      <c r="C23" s="13" t="s">
        <v>193</v>
      </c>
      <c r="D23" s="13" t="s">
        <v>116</v>
      </c>
      <c r="E23" s="13" t="s">
        <v>117</v>
      </c>
      <c r="F23" s="13">
        <v>0.3</v>
      </c>
      <c r="G23" s="13">
        <v>0</v>
      </c>
      <c r="H23" s="13">
        <v>128</v>
      </c>
      <c r="I23" s="13">
        <v>20</v>
      </c>
      <c r="J23" s="13" t="s">
        <v>118</v>
      </c>
      <c r="K23" s="13">
        <v>0</v>
      </c>
      <c r="L23" s="13" t="s">
        <v>119</v>
      </c>
      <c r="M23" s="13" t="s">
        <v>120</v>
      </c>
      <c r="N23" s="13" t="s">
        <v>121</v>
      </c>
      <c r="O23" s="13">
        <v>1</v>
      </c>
      <c r="P23" s="14">
        <v>2.2690617883937119</v>
      </c>
      <c r="Q23" s="14">
        <v>0.32091803306664451</v>
      </c>
      <c r="R23" s="13">
        <v>14</v>
      </c>
      <c r="S23" s="14">
        <v>0.30300082031249997</v>
      </c>
      <c r="T23" s="14">
        <v>0.32448500751441112</v>
      </c>
      <c r="U23" s="14">
        <v>0.87489511843548973</v>
      </c>
      <c r="V23" s="14">
        <v>0.79511295129726711</v>
      </c>
      <c r="W23" s="13">
        <v>5.1634449914999774</v>
      </c>
      <c r="X23" s="13">
        <v>176.11376953125</v>
      </c>
      <c r="Y23" s="13" t="s">
        <v>110</v>
      </c>
      <c r="Z23" s="14"/>
      <c r="AA23" s="14"/>
      <c r="AB23" s="13" t="s">
        <v>194</v>
      </c>
      <c r="AC23" s="13"/>
      <c r="AD23" s="15">
        <f t="shared" si="0"/>
        <v>0.32315163933839863</v>
      </c>
      <c r="AE23" s="15">
        <f t="shared" si="1"/>
        <v>2.1484187201911142E-2</v>
      </c>
      <c r="AF23" s="15">
        <f>IF(OR(V23="",Seeds!$C$8=""),"",V23-Seeds!$C$8)</f>
        <v>-6.5595380515236945E-2</v>
      </c>
      <c r="AG23" s="15" t="str">
        <f>IF(OR(AF23="",Seeds!$C$10=""),"",IF(ABS(AF23)&gt;Seeds!$C$10,"Có","Không"))</f>
        <v>Có</v>
      </c>
    </row>
    <row r="24" spans="1:33" ht="15" customHeight="1" x14ac:dyDescent="0.25">
      <c r="A24" s="13" t="s">
        <v>195</v>
      </c>
      <c r="B24" s="13" t="s">
        <v>192</v>
      </c>
      <c r="C24" s="13" t="s">
        <v>196</v>
      </c>
      <c r="D24" s="13" t="s">
        <v>116</v>
      </c>
      <c r="E24" s="13" t="s">
        <v>117</v>
      </c>
      <c r="F24" s="13">
        <v>0.3</v>
      </c>
      <c r="G24" s="13">
        <v>0</v>
      </c>
      <c r="H24" s="13">
        <v>2048</v>
      </c>
      <c r="I24" s="13">
        <v>20</v>
      </c>
      <c r="J24" s="13" t="s">
        <v>118</v>
      </c>
      <c r="K24" s="13">
        <v>0</v>
      </c>
      <c r="L24" s="13" t="s">
        <v>119</v>
      </c>
      <c r="M24" s="13" t="s">
        <v>120</v>
      </c>
      <c r="N24" s="13" t="s">
        <v>121</v>
      </c>
      <c r="O24" s="13">
        <v>1</v>
      </c>
      <c r="P24" s="14">
        <v>2.2690617883937119</v>
      </c>
      <c r="Q24" s="14">
        <v>0.24368112209995749</v>
      </c>
      <c r="R24" s="13">
        <v>18</v>
      </c>
      <c r="S24" s="14">
        <v>0.23029230102539061</v>
      </c>
      <c r="T24" s="14">
        <v>0.24606253843766471</v>
      </c>
      <c r="U24" s="14">
        <v>0.9014220864439233</v>
      </c>
      <c r="V24" s="14">
        <v>0.8338183644557976</v>
      </c>
      <c r="W24" s="13">
        <v>0.32925831710001602</v>
      </c>
      <c r="X24" s="13">
        <v>176.57373046875</v>
      </c>
      <c r="Y24" s="13" t="s">
        <v>110</v>
      </c>
      <c r="Z24" s="14"/>
      <c r="AA24" s="14"/>
      <c r="AB24" s="13" t="s">
        <v>197</v>
      </c>
      <c r="AC24" s="13"/>
      <c r="AD24" s="15">
        <f t="shared" si="0"/>
        <v>0.32315163933839863</v>
      </c>
      <c r="AE24" s="15">
        <f t="shared" si="1"/>
        <v>1.5770237412274096E-2</v>
      </c>
      <c r="AF24" s="15">
        <f>IF(OR(V24="",Seeds!$C$8=""),"",V24-Seeds!$C$8)</f>
        <v>-2.6889967356706457E-2</v>
      </c>
      <c r="AG24" s="15" t="str">
        <f>IF(OR(AF24="",Seeds!$C$10=""),"",IF(ABS(AF24)&gt;Seeds!$C$10,"Có","Không"))</f>
        <v>Có</v>
      </c>
    </row>
    <row r="25" spans="1:33" ht="15" customHeight="1" x14ac:dyDescent="0.25">
      <c r="A25" s="13" t="s">
        <v>198</v>
      </c>
      <c r="B25" s="13" t="s">
        <v>192</v>
      </c>
      <c r="C25" s="13" t="s">
        <v>199</v>
      </c>
      <c r="D25" s="13" t="s">
        <v>116</v>
      </c>
      <c r="E25" s="13" t="s">
        <v>117</v>
      </c>
      <c r="F25" s="13">
        <v>1.2</v>
      </c>
      <c r="G25" s="13">
        <v>0</v>
      </c>
      <c r="H25" s="13">
        <v>2048</v>
      </c>
      <c r="I25" s="13">
        <v>20</v>
      </c>
      <c r="J25" s="13" t="s">
        <v>118</v>
      </c>
      <c r="K25" s="13">
        <v>0</v>
      </c>
      <c r="L25" s="13" t="s">
        <v>119</v>
      </c>
      <c r="M25" s="13" t="s">
        <v>120</v>
      </c>
      <c r="N25" s="13" t="s">
        <v>121</v>
      </c>
      <c r="O25" s="13">
        <v>1</v>
      </c>
      <c r="P25" s="14">
        <v>2.2690617883937119</v>
      </c>
      <c r="Q25" s="14">
        <v>1.205229800928403</v>
      </c>
      <c r="R25" s="13">
        <v>11</v>
      </c>
      <c r="S25" s="14">
        <v>1.207909685058594</v>
      </c>
      <c r="T25" s="14">
        <v>1.2053345196659659</v>
      </c>
      <c r="U25" s="14">
        <v>0.48759708267894408</v>
      </c>
      <c r="V25" s="14">
        <v>9.3649990186254542E-2</v>
      </c>
      <c r="W25" s="13">
        <v>0.34270299209997568</v>
      </c>
      <c r="X25" s="13">
        <v>176.7568359375</v>
      </c>
      <c r="Y25" s="13" t="s">
        <v>110</v>
      </c>
      <c r="Z25" s="14"/>
      <c r="AA25" s="14"/>
      <c r="AB25" s="13" t="s">
        <v>200</v>
      </c>
      <c r="AC25" s="13"/>
      <c r="AD25" s="15">
        <f t="shared" si="0"/>
        <v>0.32315163933839863</v>
      </c>
      <c r="AE25" s="15">
        <f t="shared" si="1"/>
        <v>-2.5751653926280316E-3</v>
      </c>
      <c r="AF25" s="15">
        <f>IF(OR(V25="",Seeds!$C$8=""),"",V25-Seeds!$C$8)</f>
        <v>-0.76705834162624953</v>
      </c>
      <c r="AG25" s="15" t="str">
        <f>IF(OR(AF25="",Seeds!$C$10=""),"",IF(ABS(AF25)&gt;Seeds!$C$10,"Có","Không"))</f>
        <v>Có</v>
      </c>
    </row>
    <row r="26" spans="1:33" ht="15" customHeight="1" x14ac:dyDescent="0.25">
      <c r="A26" s="13" t="s">
        <v>201</v>
      </c>
      <c r="B26" s="13" t="s">
        <v>192</v>
      </c>
      <c r="C26" s="13" t="s">
        <v>202</v>
      </c>
      <c r="D26" s="13" t="s">
        <v>116</v>
      </c>
      <c r="E26" s="13" t="s">
        <v>117</v>
      </c>
      <c r="F26" s="13">
        <v>0.3</v>
      </c>
      <c r="G26" s="13">
        <v>0</v>
      </c>
      <c r="H26" s="13">
        <v>512</v>
      </c>
      <c r="I26" s="13">
        <v>20</v>
      </c>
      <c r="J26" s="13" t="s">
        <v>203</v>
      </c>
      <c r="K26" s="13">
        <v>0</v>
      </c>
      <c r="L26" s="13" t="s">
        <v>119</v>
      </c>
      <c r="M26" s="13" t="s">
        <v>120</v>
      </c>
      <c r="N26" s="13" t="s">
        <v>121</v>
      </c>
      <c r="O26" s="13">
        <v>1</v>
      </c>
      <c r="P26" s="14">
        <v>1.918216562110056</v>
      </c>
      <c r="Q26" s="14">
        <v>0.1997570650822883</v>
      </c>
      <c r="R26" s="13">
        <v>20</v>
      </c>
      <c r="S26" s="14">
        <v>0.1696991256713867</v>
      </c>
      <c r="T26" s="14">
        <v>0.1997570650822883</v>
      </c>
      <c r="U26" s="14">
        <v>0.92263505518383859</v>
      </c>
      <c r="V26" s="14">
        <v>0.87472678624193512</v>
      </c>
      <c r="W26" s="13">
        <v>1.3064851181500221</v>
      </c>
      <c r="X26" s="13">
        <v>193.5419921875</v>
      </c>
      <c r="Y26" s="13" t="s">
        <v>110</v>
      </c>
      <c r="Z26" s="14"/>
      <c r="AA26" s="14"/>
      <c r="AB26" s="13" t="s">
        <v>204</v>
      </c>
      <c r="AC26" s="13"/>
      <c r="AD26" s="15">
        <f t="shared" si="0"/>
        <v>-2.7693586945257254E-2</v>
      </c>
      <c r="AE26" s="15">
        <f t="shared" si="1"/>
        <v>3.0057939410901596E-2</v>
      </c>
      <c r="AF26" s="15">
        <f>IF(OR(V26="",Seeds!$C$8=""),"",V26-Seeds!$C$8)</f>
        <v>1.401845442943106E-2</v>
      </c>
      <c r="AG26" s="15" t="str">
        <f>IF(OR(AF26="",Seeds!$C$10=""),"",IF(ABS(AF26)&gt;Seeds!$C$10,"Có","Không"))</f>
        <v>Có</v>
      </c>
    </row>
    <row r="27" spans="1:33" ht="15" customHeight="1" x14ac:dyDescent="0.25">
      <c r="A27" s="13" t="s">
        <v>205</v>
      </c>
      <c r="B27" s="13" t="s">
        <v>192</v>
      </c>
      <c r="C27" s="13" t="s">
        <v>206</v>
      </c>
      <c r="D27" s="13" t="s">
        <v>116</v>
      </c>
      <c r="E27" s="13" t="s">
        <v>117</v>
      </c>
      <c r="F27" s="13">
        <v>0.3</v>
      </c>
      <c r="G27" s="13">
        <v>0</v>
      </c>
      <c r="H27" s="13">
        <v>512</v>
      </c>
      <c r="I27" s="13">
        <v>20</v>
      </c>
      <c r="J27" s="13" t="s">
        <v>207</v>
      </c>
      <c r="K27" s="13">
        <v>0</v>
      </c>
      <c r="L27" s="13" t="s">
        <v>119</v>
      </c>
      <c r="M27" s="13" t="s">
        <v>120</v>
      </c>
      <c r="N27" s="13" t="s">
        <v>121</v>
      </c>
      <c r="O27" s="13">
        <v>1</v>
      </c>
      <c r="P27" s="14">
        <v>1.909942442459688</v>
      </c>
      <c r="Q27" s="14">
        <v>0.22219436772552231</v>
      </c>
      <c r="R27" s="13">
        <v>20</v>
      </c>
      <c r="S27" s="14">
        <v>0.1977386895751953</v>
      </c>
      <c r="T27" s="14">
        <v>0.22219436772552231</v>
      </c>
      <c r="U27" s="14">
        <v>0.91379273251436066</v>
      </c>
      <c r="V27" s="14">
        <v>0.84125133184071621</v>
      </c>
      <c r="W27" s="13">
        <v>1.4708294121500101</v>
      </c>
      <c r="X27" s="13">
        <v>177.4306640625</v>
      </c>
      <c r="Y27" s="13" t="s">
        <v>110</v>
      </c>
      <c r="Z27" s="14"/>
      <c r="AA27" s="14"/>
      <c r="AB27" s="13" t="s">
        <v>208</v>
      </c>
      <c r="AC27" s="13"/>
      <c r="AD27" s="15">
        <f t="shared" si="0"/>
        <v>-3.5967706595625204E-2</v>
      </c>
      <c r="AE27" s="15">
        <f t="shared" si="1"/>
        <v>2.4455678150327009E-2</v>
      </c>
      <c r="AF27" s="15">
        <f>IF(OR(V27="",Seeds!$C$8=""),"",V27-Seeds!$C$8)</f>
        <v>-1.9456999971787847E-2</v>
      </c>
      <c r="AG27" s="15" t="str">
        <f>IF(OR(AF27="",Seeds!$C$10=""),"",IF(ABS(AF27)&gt;Seeds!$C$10,"Có","Không"))</f>
        <v>Có</v>
      </c>
    </row>
    <row r="28" spans="1:33" ht="15" customHeight="1" x14ac:dyDescent="0.25">
      <c r="A28" s="13" t="s">
        <v>209</v>
      </c>
      <c r="B28" s="13" t="s">
        <v>192</v>
      </c>
      <c r="C28" s="13" t="s">
        <v>210</v>
      </c>
      <c r="D28" s="13" t="s">
        <v>116</v>
      </c>
      <c r="E28" s="13" t="s">
        <v>117</v>
      </c>
      <c r="F28" s="13">
        <v>0.3</v>
      </c>
      <c r="G28" s="13">
        <v>1E-4</v>
      </c>
      <c r="H28" s="13">
        <v>512</v>
      </c>
      <c r="I28" s="13">
        <v>20</v>
      </c>
      <c r="J28" s="13" t="s">
        <v>118</v>
      </c>
      <c r="K28" s="13">
        <v>0</v>
      </c>
      <c r="L28" s="13" t="s">
        <v>119</v>
      </c>
      <c r="M28" s="13" t="s">
        <v>120</v>
      </c>
      <c r="N28" s="13" t="s">
        <v>121</v>
      </c>
      <c r="O28" s="13">
        <v>1</v>
      </c>
      <c r="P28" s="14">
        <v>2.2690617883937119</v>
      </c>
      <c r="Q28" s="14">
        <v>0.28232335918128848</v>
      </c>
      <c r="R28" s="13">
        <v>18</v>
      </c>
      <c r="S28" s="14">
        <v>0.27247336975097658</v>
      </c>
      <c r="T28" s="14">
        <v>0.28379367076525558</v>
      </c>
      <c r="U28" s="14">
        <v>0.88534024655235477</v>
      </c>
      <c r="V28" s="14">
        <v>0.81229030133495239</v>
      </c>
      <c r="W28" s="13">
        <v>1.322701082999993</v>
      </c>
      <c r="X28" s="13">
        <v>177.52294921875</v>
      </c>
      <c r="Y28" s="13" t="s">
        <v>110</v>
      </c>
      <c r="Z28" s="14"/>
      <c r="AA28" s="14"/>
      <c r="AB28" s="13" t="s">
        <v>211</v>
      </c>
      <c r="AC28" s="13"/>
      <c r="AD28" s="15">
        <f t="shared" si="0"/>
        <v>0.32315163933839863</v>
      </c>
      <c r="AE28" s="15">
        <f t="shared" si="1"/>
        <v>1.1320301014278999E-2</v>
      </c>
      <c r="AF28" s="15">
        <f>IF(OR(V28="",Seeds!$C$8=""),"",V28-Seeds!$C$8)</f>
        <v>-4.8418030477551666E-2</v>
      </c>
      <c r="AG28" s="15" t="str">
        <f>IF(OR(AF28="",Seeds!$C$10=""),"",IF(ABS(AF28)&gt;Seeds!$C$10,"Có","Không"))</f>
        <v>Có</v>
      </c>
    </row>
    <row r="29" spans="1:33" ht="15" customHeight="1" x14ac:dyDescent="0.25">
      <c r="A29" s="13" t="s">
        <v>212</v>
      </c>
      <c r="B29" s="13" t="s">
        <v>192</v>
      </c>
      <c r="C29" s="13" t="s">
        <v>213</v>
      </c>
      <c r="D29" s="13" t="s">
        <v>116</v>
      </c>
      <c r="E29" s="13" t="s">
        <v>117</v>
      </c>
      <c r="F29" s="13">
        <v>0.3</v>
      </c>
      <c r="G29" s="13">
        <v>0</v>
      </c>
      <c r="H29" s="13">
        <v>512</v>
      </c>
      <c r="I29" s="13">
        <v>20</v>
      </c>
      <c r="J29" s="13" t="s">
        <v>118</v>
      </c>
      <c r="K29" s="13">
        <v>0</v>
      </c>
      <c r="L29" s="13" t="s">
        <v>119</v>
      </c>
      <c r="M29" s="13" t="s">
        <v>120</v>
      </c>
      <c r="N29" s="13" t="s">
        <v>121</v>
      </c>
      <c r="O29" s="13">
        <v>1</v>
      </c>
      <c r="P29" s="14">
        <v>2.2690617883937119</v>
      </c>
      <c r="Q29" s="14">
        <v>0.16505646594319959</v>
      </c>
      <c r="R29" s="13">
        <v>20</v>
      </c>
      <c r="S29" s="14">
        <v>0.13558772552490231</v>
      </c>
      <c r="T29" s="14">
        <v>0.16505646594319959</v>
      </c>
      <c r="U29" s="14">
        <v>0.93669456336997914</v>
      </c>
      <c r="V29" s="14">
        <v>0.8946867782047454</v>
      </c>
      <c r="W29" s="13">
        <v>1.314421916749984</v>
      </c>
      <c r="X29" s="13">
        <v>177.7060546875</v>
      </c>
      <c r="Y29" s="13" t="s">
        <v>110</v>
      </c>
      <c r="Z29" s="14"/>
      <c r="AA29" s="14"/>
      <c r="AB29" s="13" t="s">
        <v>214</v>
      </c>
      <c r="AC29" s="13" t="s">
        <v>215</v>
      </c>
      <c r="AD29" s="15">
        <f t="shared" si="0"/>
        <v>0.32315163933839863</v>
      </c>
      <c r="AE29" s="15">
        <f t="shared" si="1"/>
        <v>2.9468740418297279E-2</v>
      </c>
      <c r="AF29" s="15">
        <f>IF(OR(V29="",Seeds!$C$8=""),"",V29-Seeds!$C$8)</f>
        <v>3.3978446392241346E-2</v>
      </c>
      <c r="AG29" s="15" t="str">
        <f>IF(OR(AF29="",Seeds!$C$10=""),"",IF(ABS(AF29)&gt;Seeds!$C$10,"Có","Không"))</f>
        <v>Có</v>
      </c>
    </row>
    <row r="30" spans="1:33" ht="15" customHeight="1" x14ac:dyDescent="0.25">
      <c r="A30" s="13" t="s">
        <v>216</v>
      </c>
      <c r="B30" s="13" t="s">
        <v>46</v>
      </c>
      <c r="C30" s="13" t="s">
        <v>217</v>
      </c>
      <c r="D30" s="13" t="s">
        <v>116</v>
      </c>
      <c r="E30" s="13" t="s">
        <v>117</v>
      </c>
      <c r="F30" s="13">
        <v>0.3</v>
      </c>
      <c r="G30" s="13">
        <v>0</v>
      </c>
      <c r="H30" s="13">
        <v>512</v>
      </c>
      <c r="I30" s="13">
        <v>20</v>
      </c>
      <c r="J30" s="13" t="s">
        <v>118</v>
      </c>
      <c r="K30" s="13">
        <v>0.1</v>
      </c>
      <c r="L30" s="13" t="s">
        <v>119</v>
      </c>
      <c r="M30" s="13" t="s">
        <v>120</v>
      </c>
      <c r="N30" s="13" t="s">
        <v>121</v>
      </c>
      <c r="O30" s="13">
        <v>1</v>
      </c>
      <c r="P30" s="14">
        <v>2.2690617883937119</v>
      </c>
      <c r="Q30" s="14">
        <v>0.23999994621458229</v>
      </c>
      <c r="R30" s="13">
        <v>20</v>
      </c>
      <c r="S30" s="14">
        <v>0.22917600646972661</v>
      </c>
      <c r="T30" s="14">
        <v>0.23999994621458229</v>
      </c>
      <c r="U30" s="14">
        <v>0.90248703771433492</v>
      </c>
      <c r="V30" s="14">
        <v>0.83847786043788564</v>
      </c>
      <c r="W30" s="13">
        <v>1.4264148471499991</v>
      </c>
      <c r="X30" s="13">
        <v>177.88916015625</v>
      </c>
      <c r="Y30" s="13" t="s">
        <v>110</v>
      </c>
      <c r="Z30" s="14"/>
      <c r="AA30" s="14"/>
      <c r="AB30" s="13" t="s">
        <v>218</v>
      </c>
      <c r="AC30" s="13"/>
      <c r="AD30" s="15">
        <f t="shared" si="0"/>
        <v>0.32315163933839863</v>
      </c>
      <c r="AE30" s="15">
        <f t="shared" si="1"/>
        <v>1.0823939744855682E-2</v>
      </c>
      <c r="AF30" s="15">
        <f>IF(OR(V30="",Seeds!$C$8=""),"",V30-Seeds!$C$8)</f>
        <v>-2.2230471374618421E-2</v>
      </c>
      <c r="AG30" s="15" t="str">
        <f>IF(OR(AF30="",Seeds!$C$10=""),"",IF(ABS(AF30)&gt;Seeds!$C$10,"Có","Không"))</f>
        <v>Có</v>
      </c>
    </row>
    <row r="31" spans="1:33" ht="15" customHeight="1" x14ac:dyDescent="0.25">
      <c r="A31" s="13" t="s">
        <v>219</v>
      </c>
      <c r="B31" s="13" t="s">
        <v>46</v>
      </c>
      <c r="C31" s="13" t="s">
        <v>220</v>
      </c>
      <c r="D31" s="13" t="s">
        <v>116</v>
      </c>
      <c r="E31" s="13" t="s">
        <v>117</v>
      </c>
      <c r="F31" s="13">
        <v>0.3</v>
      </c>
      <c r="G31" s="13">
        <v>0</v>
      </c>
      <c r="H31" s="13">
        <v>512</v>
      </c>
      <c r="I31" s="13">
        <v>20</v>
      </c>
      <c r="J31" s="13" t="s">
        <v>118</v>
      </c>
      <c r="K31" s="13">
        <v>0.3</v>
      </c>
      <c r="L31" s="13" t="s">
        <v>119</v>
      </c>
      <c r="M31" s="13" t="s">
        <v>120</v>
      </c>
      <c r="N31" s="13" t="s">
        <v>121</v>
      </c>
      <c r="O31" s="13">
        <v>1</v>
      </c>
      <c r="P31" s="14">
        <v>2.2690617883937119</v>
      </c>
      <c r="Q31" s="14">
        <v>0.31406885405902579</v>
      </c>
      <c r="R31" s="13">
        <v>20</v>
      </c>
      <c r="S31" s="14">
        <v>0.3086547180175781</v>
      </c>
      <c r="T31" s="14">
        <v>0.31406885405902579</v>
      </c>
      <c r="U31" s="14">
        <v>0.87199070587982186</v>
      </c>
      <c r="V31" s="14">
        <v>0.78239196855817073</v>
      </c>
      <c r="W31" s="13">
        <v>1.4105146384500129</v>
      </c>
      <c r="X31" s="13">
        <v>178.072265625</v>
      </c>
      <c r="Y31" s="13" t="s">
        <v>110</v>
      </c>
      <c r="Z31" s="14"/>
      <c r="AA31" s="14"/>
      <c r="AB31" s="13" t="s">
        <v>221</v>
      </c>
      <c r="AC31" s="13"/>
      <c r="AD31" s="15">
        <f t="shared" si="0"/>
        <v>0.32315163933839863</v>
      </c>
      <c r="AE31" s="15">
        <f t="shared" si="1"/>
        <v>5.4141360414476924E-3</v>
      </c>
      <c r="AF31" s="15">
        <f>IF(OR(V31="",Seeds!$C$8=""),"",V31-Seeds!$C$8)</f>
        <v>-7.8316363254333332E-2</v>
      </c>
      <c r="AG31" s="15" t="str">
        <f>IF(OR(AF31="",Seeds!$C$10=""),"",IF(ABS(AF31)&gt;Seeds!$C$10,"Có","Không"))</f>
        <v>Có</v>
      </c>
    </row>
    <row r="32" spans="1:33" ht="15" customHeight="1" x14ac:dyDescent="0.25">
      <c r="A32" s="13" t="s">
        <v>222</v>
      </c>
      <c r="B32" s="13" t="s">
        <v>46</v>
      </c>
      <c r="C32" s="13" t="s">
        <v>223</v>
      </c>
      <c r="D32" s="13" t="s">
        <v>116</v>
      </c>
      <c r="E32" s="13" t="s">
        <v>117</v>
      </c>
      <c r="F32" s="13">
        <v>0.3</v>
      </c>
      <c r="G32" s="13">
        <v>0</v>
      </c>
      <c r="H32" s="13">
        <v>512</v>
      </c>
      <c r="I32" s="13">
        <v>20</v>
      </c>
      <c r="J32" s="13" t="s">
        <v>118</v>
      </c>
      <c r="K32" s="13">
        <v>0.5</v>
      </c>
      <c r="L32" s="13" t="s">
        <v>119</v>
      </c>
      <c r="M32" s="13" t="s">
        <v>120</v>
      </c>
      <c r="N32" s="13" t="s">
        <v>121</v>
      </c>
      <c r="O32" s="13">
        <v>1</v>
      </c>
      <c r="P32" s="14">
        <v>2.2690617883937119</v>
      </c>
      <c r="Q32" s="14">
        <v>0.42490755211134662</v>
      </c>
      <c r="R32" s="13">
        <v>20</v>
      </c>
      <c r="S32" s="14">
        <v>0.42269527648925781</v>
      </c>
      <c r="T32" s="14">
        <v>0.42490755211134662</v>
      </c>
      <c r="U32" s="14">
        <v>0.81958219487532535</v>
      </c>
      <c r="V32" s="14">
        <v>0.5784212778775798</v>
      </c>
      <c r="W32" s="13">
        <v>1.4107598970999791</v>
      </c>
      <c r="X32" s="13">
        <v>178.25537109375</v>
      </c>
      <c r="Y32" s="13" t="s">
        <v>110</v>
      </c>
      <c r="Z32" s="14"/>
      <c r="AA32" s="14"/>
      <c r="AB32" s="13" t="s">
        <v>224</v>
      </c>
      <c r="AC32" s="13"/>
      <c r="AD32" s="15">
        <f t="shared" si="0"/>
        <v>0.32315163933839863</v>
      </c>
      <c r="AE32" s="15">
        <f t="shared" si="1"/>
        <v>2.2122756220888107E-3</v>
      </c>
      <c r="AF32" s="15">
        <f>IF(OR(V32="",Seeds!$C$8=""),"",V32-Seeds!$C$8)</f>
        <v>-0.28228705393492426</v>
      </c>
      <c r="AG32" s="15" t="str">
        <f>IF(OR(AF32="",Seeds!$C$10=""),"",IF(ABS(AF32)&gt;Seeds!$C$10,"Có","Không"))</f>
        <v>Có</v>
      </c>
    </row>
    <row r="33" spans="1:33" ht="15" customHeight="1" x14ac:dyDescent="0.25">
      <c r="A33" s="13" t="s">
        <v>225</v>
      </c>
      <c r="B33" s="13" t="s">
        <v>226</v>
      </c>
      <c r="C33" s="13" t="s">
        <v>227</v>
      </c>
      <c r="D33" s="13" t="s">
        <v>116</v>
      </c>
      <c r="E33" s="13" t="s">
        <v>117</v>
      </c>
      <c r="F33" s="13">
        <v>0.3</v>
      </c>
      <c r="G33" s="13">
        <v>0</v>
      </c>
      <c r="H33" s="13">
        <v>512</v>
      </c>
      <c r="I33" s="13">
        <v>20</v>
      </c>
      <c r="J33" s="13" t="s">
        <v>118</v>
      </c>
      <c r="K33" s="13">
        <v>0</v>
      </c>
      <c r="L33" s="13">
        <v>0.35</v>
      </c>
      <c r="M33" s="13" t="s">
        <v>120</v>
      </c>
      <c r="N33" s="13" t="s">
        <v>121</v>
      </c>
      <c r="O33" s="13">
        <v>1</v>
      </c>
      <c r="P33" s="14">
        <v>2.2690617883937119</v>
      </c>
      <c r="Q33" s="14">
        <v>0.22867875396583409</v>
      </c>
      <c r="R33" s="13">
        <v>19</v>
      </c>
      <c r="S33" s="14">
        <v>0.20878436645507811</v>
      </c>
      <c r="T33" s="14">
        <v>0.22935708446604861</v>
      </c>
      <c r="U33" s="14">
        <v>0.90893053075450181</v>
      </c>
      <c r="V33" s="14">
        <v>0.85812706262356764</v>
      </c>
      <c r="W33" s="13">
        <v>1.3461370376999751</v>
      </c>
      <c r="X33" s="13">
        <v>178.4384765625</v>
      </c>
      <c r="Y33" s="13" t="s">
        <v>110</v>
      </c>
      <c r="Z33" s="14"/>
      <c r="AA33" s="14"/>
      <c r="AB33" s="13" t="s">
        <v>228</v>
      </c>
      <c r="AC33" s="13" t="s">
        <v>229</v>
      </c>
      <c r="AD33" s="15">
        <f t="shared" si="0"/>
        <v>0.32315163933839863</v>
      </c>
      <c r="AE33" s="15">
        <f t="shared" si="1"/>
        <v>2.0572718010970492E-2</v>
      </c>
      <c r="AF33" s="15">
        <f>IF(OR(V33="",Seeds!$C$8=""),"",V33-Seeds!$C$8)</f>
        <v>-2.5812691889364192E-3</v>
      </c>
      <c r="AG33" s="15" t="str">
        <f>IF(OR(AF33="",Seeds!$C$10=""),"",IF(ABS(AF33)&gt;Seeds!$C$10,"Có","Không"))</f>
        <v>Không</v>
      </c>
    </row>
    <row r="34" spans="1:33" ht="15" customHeight="1" x14ac:dyDescent="0.25">
      <c r="A34" s="13" t="s">
        <v>230</v>
      </c>
      <c r="B34" s="13" t="s">
        <v>226</v>
      </c>
      <c r="C34" s="13" t="s">
        <v>231</v>
      </c>
      <c r="D34" s="13" t="s">
        <v>116</v>
      </c>
      <c r="E34" s="13" t="s">
        <v>117</v>
      </c>
      <c r="F34" s="13">
        <v>3</v>
      </c>
      <c r="G34" s="13">
        <v>0</v>
      </c>
      <c r="H34" s="13">
        <v>512</v>
      </c>
      <c r="I34" s="13">
        <v>20</v>
      </c>
      <c r="J34" s="13" t="s">
        <v>118</v>
      </c>
      <c r="K34" s="13">
        <v>0</v>
      </c>
      <c r="L34" s="13" t="s">
        <v>119</v>
      </c>
      <c r="M34" s="13" t="s">
        <v>120</v>
      </c>
      <c r="N34" s="13" t="s">
        <v>121</v>
      </c>
      <c r="O34" s="13">
        <v>1</v>
      </c>
      <c r="P34" s="14">
        <v>2.2690617883937119</v>
      </c>
      <c r="Q34" s="14">
        <v>1.2089531489933389</v>
      </c>
      <c r="R34" s="13">
        <v>17</v>
      </c>
      <c r="S34" s="14">
        <v>1.2123599218750001</v>
      </c>
      <c r="T34" s="14">
        <v>1.2100903481563701</v>
      </c>
      <c r="U34" s="14">
        <v>0.48759708267894408</v>
      </c>
      <c r="V34" s="14">
        <v>9.3649990186254542E-2</v>
      </c>
      <c r="W34" s="13">
        <v>1.303604321650027</v>
      </c>
      <c r="X34" s="13">
        <v>178.62158203125</v>
      </c>
      <c r="Y34" s="13" t="s">
        <v>110</v>
      </c>
      <c r="Z34" s="14"/>
      <c r="AA34" s="14"/>
      <c r="AB34" s="13" t="s">
        <v>232</v>
      </c>
      <c r="AC34" s="13" t="s">
        <v>233</v>
      </c>
      <c r="AD34" s="15">
        <f t="shared" ref="AD34:AD61" si="2">IF(P34="","",P34-LN(7))</f>
        <v>0.32315163933839863</v>
      </c>
      <c r="AE34" s="15">
        <f t="shared" ref="AE34:AE61" si="3">IF(OR(T34="",S34=""),"",T34-S34)</f>
        <v>-2.2695737186300136E-3</v>
      </c>
      <c r="AF34" s="15">
        <f>IF(OR(V34="",Seeds!$C$8=""),"",V34-Seeds!$C$8)</f>
        <v>-0.76705834162624953</v>
      </c>
      <c r="AG34" s="15" t="str">
        <f>IF(OR(AF34="",Seeds!$C$10=""),"",IF(ABS(AF34)&gt;Seeds!$C$10,"Có","Không"))</f>
        <v>Có</v>
      </c>
    </row>
    <row r="35" spans="1:33" ht="15" customHeight="1" x14ac:dyDescent="0.25">
      <c r="A35" s="13" t="s">
        <v>234</v>
      </c>
      <c r="B35" s="13" t="s">
        <v>226</v>
      </c>
      <c r="C35" s="13" t="s">
        <v>235</v>
      </c>
      <c r="D35" s="13" t="s">
        <v>116</v>
      </c>
      <c r="E35" s="13" t="s">
        <v>117</v>
      </c>
      <c r="F35" s="13">
        <v>3</v>
      </c>
      <c r="G35" s="13">
        <v>0</v>
      </c>
      <c r="H35" s="13">
        <v>512</v>
      </c>
      <c r="I35" s="13">
        <v>20</v>
      </c>
      <c r="J35" s="13" t="s">
        <v>118</v>
      </c>
      <c r="K35" s="13">
        <v>0</v>
      </c>
      <c r="L35" s="13">
        <v>0.35</v>
      </c>
      <c r="M35" s="13" t="s">
        <v>120</v>
      </c>
      <c r="N35" s="13" t="s">
        <v>121</v>
      </c>
      <c r="O35" s="13">
        <v>1</v>
      </c>
      <c r="P35" s="14">
        <v>2.2690617883937119</v>
      </c>
      <c r="Q35" s="14">
        <v>0.96609120664307058</v>
      </c>
      <c r="R35" s="13">
        <v>17</v>
      </c>
      <c r="S35" s="14">
        <v>0.9865982556152344</v>
      </c>
      <c r="T35" s="14">
        <v>0.98613841059552554</v>
      </c>
      <c r="U35" s="14">
        <v>0.52494567672812542</v>
      </c>
      <c r="V35" s="14">
        <v>0.1927731645609933</v>
      </c>
      <c r="W35" s="13">
        <v>1.3047470441499971</v>
      </c>
      <c r="X35" s="13">
        <v>178.8046875</v>
      </c>
      <c r="Y35" s="13" t="s">
        <v>110</v>
      </c>
      <c r="Z35" s="14"/>
      <c r="AA35" s="14"/>
      <c r="AB35" s="13" t="s">
        <v>236</v>
      </c>
      <c r="AC35" s="13" t="s">
        <v>237</v>
      </c>
      <c r="AD35" s="15">
        <f t="shared" si="2"/>
        <v>0.32315163933839863</v>
      </c>
      <c r="AE35" s="15">
        <f t="shared" si="3"/>
        <v>-4.5984501970885994E-4</v>
      </c>
      <c r="AF35" s="15">
        <f>IF(OR(V35="",Seeds!$C$8=""),"",V35-Seeds!$C$8)</f>
        <v>-0.66793516725151081</v>
      </c>
      <c r="AG35" s="15" t="str">
        <f>IF(OR(AF35="",Seeds!$C$10=""),"",IF(ABS(AF35)&gt;Seeds!$C$10,"Có","Không"))</f>
        <v>Có</v>
      </c>
    </row>
    <row r="36" spans="1:33" ht="15" customHeight="1" x14ac:dyDescent="0.25">
      <c r="A36" s="13" t="s">
        <v>238</v>
      </c>
      <c r="B36" s="13" t="s">
        <v>226</v>
      </c>
      <c r="C36" s="13" t="s">
        <v>239</v>
      </c>
      <c r="D36" s="13" t="s">
        <v>116</v>
      </c>
      <c r="E36" s="13" t="s">
        <v>117</v>
      </c>
      <c r="F36" s="13">
        <v>3</v>
      </c>
      <c r="G36" s="13">
        <v>0</v>
      </c>
      <c r="H36" s="13">
        <v>512</v>
      </c>
      <c r="I36" s="13">
        <v>20</v>
      </c>
      <c r="J36" s="13" t="s">
        <v>118</v>
      </c>
      <c r="K36" s="13">
        <v>0</v>
      </c>
      <c r="L36" s="13">
        <v>3.5000000000000003E-2</v>
      </c>
      <c r="M36" s="13" t="s">
        <v>120</v>
      </c>
      <c r="N36" s="13" t="s">
        <v>121</v>
      </c>
      <c r="O36" s="13">
        <v>1</v>
      </c>
      <c r="P36" s="14">
        <v>2.2690617883937119</v>
      </c>
      <c r="Q36" s="14">
        <v>0.22953925039704559</v>
      </c>
      <c r="R36" s="13">
        <v>18</v>
      </c>
      <c r="S36" s="14">
        <v>0.2110450888061523</v>
      </c>
      <c r="T36" s="14">
        <v>0.2361332782638588</v>
      </c>
      <c r="U36" s="14">
        <v>0.90943611368085886</v>
      </c>
      <c r="V36" s="14">
        <v>0.85488284644814605</v>
      </c>
      <c r="W36" s="13">
        <v>1.315606478600023</v>
      </c>
      <c r="X36" s="13">
        <v>178.98779296875</v>
      </c>
      <c r="Y36" s="13" t="s">
        <v>110</v>
      </c>
      <c r="Z36" s="14"/>
      <c r="AA36" s="14"/>
      <c r="AB36" s="13" t="s">
        <v>240</v>
      </c>
      <c r="AC36" s="13" t="s">
        <v>241</v>
      </c>
      <c r="AD36" s="15">
        <f t="shared" si="2"/>
        <v>0.32315163933839863</v>
      </c>
      <c r="AE36" s="15">
        <f t="shared" si="3"/>
        <v>2.5088189457706495E-2</v>
      </c>
      <c r="AF36" s="15">
        <f>IF(OR(V36="",Seeds!$C$8=""),"",V36-Seeds!$C$8)</f>
        <v>-5.8254853643580073E-3</v>
      </c>
      <c r="AG36" s="15" t="str">
        <f>IF(OR(AF36="",Seeds!$C$10=""),"",IF(ABS(AF36)&gt;Seeds!$C$10,"Có","Không"))</f>
        <v>Không</v>
      </c>
    </row>
    <row r="37" spans="1:33" ht="15" customHeight="1" x14ac:dyDescent="0.25">
      <c r="A37" s="13" t="s">
        <v>242</v>
      </c>
      <c r="B37" s="13" t="s">
        <v>243</v>
      </c>
      <c r="C37" s="13" t="s">
        <v>244</v>
      </c>
      <c r="D37" s="13" t="s">
        <v>116</v>
      </c>
      <c r="E37" s="13" t="s">
        <v>117</v>
      </c>
      <c r="F37" s="13">
        <v>0.3</v>
      </c>
      <c r="G37" s="13">
        <v>0</v>
      </c>
      <c r="H37" s="13">
        <v>512</v>
      </c>
      <c r="I37" s="13">
        <v>20</v>
      </c>
      <c r="J37" s="13" t="s">
        <v>118</v>
      </c>
      <c r="K37" s="13">
        <v>0</v>
      </c>
      <c r="L37" s="13" t="s">
        <v>119</v>
      </c>
      <c r="M37" s="13" t="s">
        <v>245</v>
      </c>
      <c r="N37" s="13" t="s">
        <v>121</v>
      </c>
      <c r="O37" s="13">
        <v>1</v>
      </c>
      <c r="P37" s="14">
        <v>2.2690617883937119</v>
      </c>
      <c r="Q37" s="14">
        <v>0.22197015633109829</v>
      </c>
      <c r="R37" s="13">
        <v>15</v>
      </c>
      <c r="S37" s="14">
        <v>0.20329447692871089</v>
      </c>
      <c r="T37" s="14">
        <v>0.2237417161527526</v>
      </c>
      <c r="U37" s="14">
        <v>0.91117876121425956</v>
      </c>
      <c r="V37" s="14">
        <v>0.85973547437936715</v>
      </c>
      <c r="W37" s="13">
        <v>1.778863541150008</v>
      </c>
      <c r="X37" s="13">
        <v>179.169921875</v>
      </c>
      <c r="Y37" s="13" t="s">
        <v>110</v>
      </c>
      <c r="Z37" s="14"/>
      <c r="AA37" s="14"/>
      <c r="AB37" s="13" t="s">
        <v>246</v>
      </c>
      <c r="AC37" s="13" t="s">
        <v>247</v>
      </c>
      <c r="AD37" s="15">
        <f t="shared" si="2"/>
        <v>0.32315163933839863</v>
      </c>
      <c r="AE37" s="15">
        <f t="shared" si="3"/>
        <v>2.0447239224041708E-2</v>
      </c>
      <c r="AF37" s="15">
        <f>IF(OR(V37="",Seeds!$C$8=""),"",V37-Seeds!$C$8)</f>
        <v>-9.7285743313690887E-4</v>
      </c>
      <c r="AG37" s="15" t="str">
        <f>IF(OR(AF37="",Seeds!$C$10=""),"",IF(ABS(AF37)&gt;Seeds!$C$10,"Có","Không"))</f>
        <v>Không</v>
      </c>
    </row>
    <row r="38" spans="1:33" ht="15" customHeight="1" x14ac:dyDescent="0.25">
      <c r="A38" s="13" t="s">
        <v>248</v>
      </c>
      <c r="B38" s="13" t="s">
        <v>243</v>
      </c>
      <c r="C38" s="13" t="s">
        <v>249</v>
      </c>
      <c r="D38" s="13" t="s">
        <v>116</v>
      </c>
      <c r="E38" s="13" t="s">
        <v>117</v>
      </c>
      <c r="F38" s="13">
        <v>0.3</v>
      </c>
      <c r="G38" s="13">
        <v>0</v>
      </c>
      <c r="H38" s="13">
        <v>512</v>
      </c>
      <c r="I38" s="13">
        <v>20</v>
      </c>
      <c r="J38" s="13" t="s">
        <v>118</v>
      </c>
      <c r="K38" s="13">
        <v>0</v>
      </c>
      <c r="L38" s="13" t="s">
        <v>119</v>
      </c>
      <c r="M38" s="13" t="s">
        <v>250</v>
      </c>
      <c r="N38" s="13" t="s">
        <v>121</v>
      </c>
      <c r="O38" s="13">
        <v>1</v>
      </c>
      <c r="P38" s="14">
        <v>2.2690617883937119</v>
      </c>
      <c r="Q38" s="14">
        <v>0.22495113563287281</v>
      </c>
      <c r="R38" s="13">
        <v>20</v>
      </c>
      <c r="S38" s="14">
        <v>0.20261041259765619</v>
      </c>
      <c r="T38" s="14">
        <v>0.22495113563287281</v>
      </c>
      <c r="U38" s="14">
        <v>0.91022138077924308</v>
      </c>
      <c r="V38" s="14">
        <v>0.85203233882455875</v>
      </c>
      <c r="W38" s="13">
        <v>1.5455942360500099</v>
      </c>
      <c r="X38" s="13">
        <v>179.35205078125</v>
      </c>
      <c r="Y38" s="13" t="s">
        <v>110</v>
      </c>
      <c r="Z38" s="14"/>
      <c r="AA38" s="14"/>
      <c r="AB38" s="13" t="s">
        <v>251</v>
      </c>
      <c r="AC38" s="13" t="s">
        <v>247</v>
      </c>
      <c r="AD38" s="15">
        <f t="shared" si="2"/>
        <v>0.32315163933839863</v>
      </c>
      <c r="AE38" s="15">
        <f t="shared" si="3"/>
        <v>2.2340723035216614E-2</v>
      </c>
      <c r="AF38" s="15">
        <f>IF(OR(V38="",Seeds!$C$8=""),"",V38-Seeds!$C$8)</f>
        <v>-8.6759929879453024E-3</v>
      </c>
      <c r="AG38" s="15" t="str">
        <f>IF(OR(AF38="",Seeds!$C$10=""),"",IF(ABS(AF38)&gt;Seeds!$C$10,"Có","Không"))</f>
        <v>Có</v>
      </c>
    </row>
    <row r="39" spans="1:33" ht="15" customHeight="1" x14ac:dyDescent="0.25">
      <c r="A39" s="13" t="s">
        <v>252</v>
      </c>
      <c r="B39" s="13" t="s">
        <v>53</v>
      </c>
      <c r="C39" s="13" t="s">
        <v>253</v>
      </c>
      <c r="D39" s="13" t="s">
        <v>116</v>
      </c>
      <c r="E39" s="13" t="s">
        <v>117</v>
      </c>
      <c r="F39" s="13">
        <v>0.3</v>
      </c>
      <c r="G39" s="13">
        <v>0</v>
      </c>
      <c r="H39" s="13">
        <v>512</v>
      </c>
      <c r="I39" s="13">
        <v>20</v>
      </c>
      <c r="J39" s="13" t="s">
        <v>118</v>
      </c>
      <c r="K39" s="13">
        <v>0</v>
      </c>
      <c r="L39" s="13" t="s">
        <v>119</v>
      </c>
      <c r="M39" s="13" t="s">
        <v>120</v>
      </c>
      <c r="N39" s="13" t="s">
        <v>254</v>
      </c>
      <c r="O39" s="13">
        <v>1</v>
      </c>
      <c r="P39" s="14">
        <v>1.945909990859841</v>
      </c>
      <c r="Q39" s="14">
        <v>1.2052617150102329</v>
      </c>
      <c r="R39" s="13">
        <v>16</v>
      </c>
      <c r="S39" s="14">
        <v>1.208679057617188</v>
      </c>
      <c r="T39" s="14">
        <v>1.2062598021822759</v>
      </c>
      <c r="U39" s="14">
        <v>0.48759708267894408</v>
      </c>
      <c r="V39" s="14">
        <v>9.3649990186254542E-2</v>
      </c>
      <c r="W39" s="13">
        <v>1.328912796999975</v>
      </c>
      <c r="X39" s="13">
        <v>190.68701171875</v>
      </c>
      <c r="Y39" s="13" t="s">
        <v>110</v>
      </c>
      <c r="Z39" s="14"/>
      <c r="AA39" s="14"/>
      <c r="AB39" s="13" t="s">
        <v>255</v>
      </c>
      <c r="AC39" s="13"/>
      <c r="AD39" s="15">
        <f t="shared" si="2"/>
        <v>-1.5819547227735598E-7</v>
      </c>
      <c r="AE39" s="15">
        <f t="shared" si="3"/>
        <v>-2.4192554349120599E-3</v>
      </c>
      <c r="AF39" s="15">
        <f>IF(OR(V39="",Seeds!$C$8=""),"",V39-Seeds!$C$8)</f>
        <v>-0.76705834162624953</v>
      </c>
      <c r="AG39" s="15" t="str">
        <f>IF(OR(AF39="",Seeds!$C$10=""),"",IF(ABS(AF39)&gt;Seeds!$C$10,"Có","Không"))</f>
        <v>Có</v>
      </c>
    </row>
    <row r="40" spans="1:33" ht="15" customHeight="1" x14ac:dyDescent="0.25">
      <c r="A40" s="13" t="s">
        <v>256</v>
      </c>
      <c r="B40" s="13" t="s">
        <v>53</v>
      </c>
      <c r="C40" s="13" t="s">
        <v>257</v>
      </c>
      <c r="D40" s="13" t="s">
        <v>116</v>
      </c>
      <c r="E40" s="13" t="s">
        <v>117</v>
      </c>
      <c r="F40" s="13">
        <v>0.3</v>
      </c>
      <c r="G40" s="13">
        <v>0</v>
      </c>
      <c r="H40" s="13">
        <v>512</v>
      </c>
      <c r="I40" s="13">
        <v>20</v>
      </c>
      <c r="J40" s="13" t="s">
        <v>118</v>
      </c>
      <c r="K40" s="13">
        <v>0</v>
      </c>
      <c r="L40" s="13" t="s">
        <v>119</v>
      </c>
      <c r="M40" s="13" t="s">
        <v>120</v>
      </c>
      <c r="N40" s="13" t="s">
        <v>258</v>
      </c>
      <c r="O40" s="13">
        <v>1</v>
      </c>
      <c r="P40" s="14">
        <v>1.945995658844474</v>
      </c>
      <c r="Q40" s="14">
        <v>0.22041637689597801</v>
      </c>
      <c r="R40" s="13">
        <v>20</v>
      </c>
      <c r="S40" s="14">
        <v>0.19817518798828121</v>
      </c>
      <c r="T40" s="14">
        <v>0.22041637689597801</v>
      </c>
      <c r="U40" s="14">
        <v>0.91368516167896563</v>
      </c>
      <c r="V40" s="14">
        <v>0.86094954026217285</v>
      </c>
      <c r="W40" s="13">
        <v>1.3165630480499659</v>
      </c>
      <c r="X40" s="13">
        <v>190.8701171875</v>
      </c>
      <c r="Y40" s="13" t="s">
        <v>110</v>
      </c>
      <c r="Z40" s="14"/>
      <c r="AA40" s="14"/>
      <c r="AB40" s="13" t="s">
        <v>259</v>
      </c>
      <c r="AC40" s="13"/>
      <c r="AD40" s="15">
        <f t="shared" si="2"/>
        <v>8.5509789160775895E-5</v>
      </c>
      <c r="AE40" s="15">
        <f t="shared" si="3"/>
        <v>2.2241188907696802E-2</v>
      </c>
      <c r="AF40" s="15">
        <f>IF(OR(V40="",Seeds!$C$8=""),"",V40-Seeds!$C$8)</f>
        <v>2.4120844966879496E-4</v>
      </c>
      <c r="AG40" s="15" t="str">
        <f>IF(OR(AF40="",Seeds!$C$10=""),"",IF(ABS(AF40)&gt;Seeds!$C$10,"Có","Không"))</f>
        <v>Không</v>
      </c>
    </row>
    <row r="41" spans="1:33" ht="15" customHeight="1" x14ac:dyDescent="0.25">
      <c r="A41" s="13" t="s">
        <v>260</v>
      </c>
      <c r="B41" s="13" t="s">
        <v>53</v>
      </c>
      <c r="C41" s="13" t="s">
        <v>261</v>
      </c>
      <c r="D41" s="13" t="s">
        <v>116</v>
      </c>
      <c r="E41" s="13" t="s">
        <v>117</v>
      </c>
      <c r="F41" s="13">
        <v>0.3</v>
      </c>
      <c r="G41" s="13">
        <v>0</v>
      </c>
      <c r="H41" s="13">
        <v>512</v>
      </c>
      <c r="I41" s="13">
        <v>20</v>
      </c>
      <c r="J41" s="13" t="s">
        <v>118</v>
      </c>
      <c r="K41" s="13">
        <v>0</v>
      </c>
      <c r="L41" s="13" t="s">
        <v>119</v>
      </c>
      <c r="M41" s="13" t="s">
        <v>120</v>
      </c>
      <c r="N41" s="13" t="s">
        <v>262</v>
      </c>
      <c r="O41" s="13">
        <v>1</v>
      </c>
      <c r="P41" s="14">
        <v>2.0221761899351351</v>
      </c>
      <c r="Q41" s="14">
        <v>0.22363907805470079</v>
      </c>
      <c r="R41" s="13">
        <v>18</v>
      </c>
      <c r="S41" s="14">
        <v>0.20638361694335941</v>
      </c>
      <c r="T41" s="14">
        <v>0.2289342465179825</v>
      </c>
      <c r="U41" s="14">
        <v>0.90959746993395152</v>
      </c>
      <c r="V41" s="14">
        <v>0.85021024030056791</v>
      </c>
      <c r="W41" s="13">
        <v>1.3189042186500051</v>
      </c>
      <c r="X41" s="13">
        <v>191.05322265625</v>
      </c>
      <c r="Y41" s="13" t="s">
        <v>110</v>
      </c>
      <c r="Z41" s="14"/>
      <c r="AA41" s="14"/>
      <c r="AB41" s="13" t="s">
        <v>263</v>
      </c>
      <c r="AC41" s="13"/>
      <c r="AD41" s="15">
        <f t="shared" si="2"/>
        <v>7.6266040879821917E-2</v>
      </c>
      <c r="AE41" s="15">
        <f t="shared" si="3"/>
        <v>2.2550629574623088E-2</v>
      </c>
      <c r="AF41" s="15">
        <f>IF(OR(V41="",Seeds!$C$8=""),"",V41-Seeds!$C$8)</f>
        <v>-1.0498091511936147E-2</v>
      </c>
      <c r="AG41" s="15" t="str">
        <f>IF(OR(AF41="",Seeds!$C$10=""),"",IF(ABS(AF41)&gt;Seeds!$C$10,"Có","Không"))</f>
        <v>Có</v>
      </c>
    </row>
    <row r="42" spans="1:33" ht="15" customHeight="1" x14ac:dyDescent="0.25">
      <c r="A42" s="13" t="s">
        <v>264</v>
      </c>
      <c r="B42" s="13" t="s">
        <v>53</v>
      </c>
      <c r="C42" s="13" t="s">
        <v>265</v>
      </c>
      <c r="D42" s="13" t="s">
        <v>116</v>
      </c>
      <c r="E42" s="13" t="s">
        <v>117</v>
      </c>
      <c r="F42" s="13">
        <v>0.3</v>
      </c>
      <c r="G42" s="13">
        <v>0</v>
      </c>
      <c r="H42" s="13">
        <v>512</v>
      </c>
      <c r="I42" s="13">
        <v>20</v>
      </c>
      <c r="J42" s="13" t="s">
        <v>118</v>
      </c>
      <c r="K42" s="13">
        <v>0</v>
      </c>
      <c r="L42" s="13" t="s">
        <v>119</v>
      </c>
      <c r="M42" s="13" t="s">
        <v>120</v>
      </c>
      <c r="N42" s="13" t="s">
        <v>266</v>
      </c>
      <c r="O42" s="13">
        <v>1</v>
      </c>
      <c r="P42" s="14">
        <v>1.98303583764401</v>
      </c>
      <c r="Q42" s="14">
        <v>0.217011485513528</v>
      </c>
      <c r="R42" s="13">
        <v>20</v>
      </c>
      <c r="S42" s="14">
        <v>0.19466240417480471</v>
      </c>
      <c r="T42" s="14">
        <v>0.217011485513528</v>
      </c>
      <c r="U42" s="14">
        <v>0.91453497127858696</v>
      </c>
      <c r="V42" s="14">
        <v>0.86365066541821922</v>
      </c>
      <c r="W42" s="13">
        <v>1.3110763693999961</v>
      </c>
      <c r="X42" s="13">
        <v>191.236328125</v>
      </c>
      <c r="Y42" s="13" t="s">
        <v>110</v>
      </c>
      <c r="Z42" s="14"/>
      <c r="AA42" s="14"/>
      <c r="AB42" s="13" t="s">
        <v>267</v>
      </c>
      <c r="AC42" s="13"/>
      <c r="AD42" s="15">
        <f t="shared" si="2"/>
        <v>3.7125688588696804E-2</v>
      </c>
      <c r="AE42" s="15">
        <f t="shared" si="3"/>
        <v>2.2349081338723292E-2</v>
      </c>
      <c r="AF42" s="15">
        <f>IF(OR(V42="",Seeds!$C$8=""),"",V42-Seeds!$C$8)</f>
        <v>2.9423336057151639E-3</v>
      </c>
      <c r="AG42" s="15" t="str">
        <f>IF(OR(AF42="",Seeds!$C$10=""),"",IF(ABS(AF42)&gt;Seeds!$C$10,"Có","Không"))</f>
        <v>Không</v>
      </c>
    </row>
    <row r="43" spans="1:33" ht="15" customHeight="1" x14ac:dyDescent="0.25">
      <c r="A43" s="13" t="s">
        <v>268</v>
      </c>
      <c r="B43" s="13" t="s">
        <v>269</v>
      </c>
      <c r="C43" s="13" t="s">
        <v>270</v>
      </c>
      <c r="D43" s="13" t="s">
        <v>116</v>
      </c>
      <c r="E43" s="13" t="s">
        <v>109</v>
      </c>
      <c r="F43" s="13">
        <v>3.0000000000000001E-3</v>
      </c>
      <c r="G43" s="13">
        <v>0</v>
      </c>
      <c r="H43" s="13">
        <v>512</v>
      </c>
      <c r="I43" s="13">
        <v>20</v>
      </c>
      <c r="J43" s="13" t="s">
        <v>203</v>
      </c>
      <c r="K43" s="13">
        <v>0</v>
      </c>
      <c r="L43" s="13" t="s">
        <v>119</v>
      </c>
      <c r="M43" s="13" t="s">
        <v>120</v>
      </c>
      <c r="N43" s="13" t="s">
        <v>121</v>
      </c>
      <c r="O43" s="13">
        <v>1</v>
      </c>
      <c r="P43" s="14">
        <v>1.918216562110056</v>
      </c>
      <c r="Q43" s="14">
        <v>0.147866437660894</v>
      </c>
      <c r="R43" s="13">
        <v>20</v>
      </c>
      <c r="S43" s="14">
        <v>0.1123640002441406</v>
      </c>
      <c r="T43" s="14">
        <v>0.147866437660894</v>
      </c>
      <c r="U43" s="14">
        <v>0.94281534390396071</v>
      </c>
      <c r="V43" s="14">
        <v>0.91391737759435188</v>
      </c>
      <c r="W43" s="13">
        <v>1.512537022250001</v>
      </c>
      <c r="X43" s="13">
        <v>208.88330078125</v>
      </c>
      <c r="Y43" s="13" t="s">
        <v>110</v>
      </c>
      <c r="Z43" s="14">
        <v>0.94165382993554381</v>
      </c>
      <c r="AA43" s="14">
        <v>0.91577504948769906</v>
      </c>
      <c r="AB43" s="13" t="s">
        <v>271</v>
      </c>
      <c r="AC43" s="13" t="s">
        <v>272</v>
      </c>
      <c r="AD43" s="15">
        <f t="shared" si="2"/>
        <v>-2.7693586945257254E-2</v>
      </c>
      <c r="AE43" s="15">
        <f t="shared" si="3"/>
        <v>3.5502437416753393E-2</v>
      </c>
      <c r="AF43" s="15">
        <f>IF(OR(V43="",Seeds!$C$8=""),"",V43-Seeds!$C$8)</f>
        <v>5.3209045781847819E-2</v>
      </c>
      <c r="AG43" s="15" t="str">
        <f>IF(OR(AF43="",Seeds!$C$10=""),"",IF(ABS(AF43)&gt;Seeds!$C$10,"Có","Không"))</f>
        <v>Có</v>
      </c>
    </row>
    <row r="44" spans="1:33" ht="15" customHeight="1" x14ac:dyDescent="0.25">
      <c r="A44" s="13" t="s">
        <v>273</v>
      </c>
      <c r="B44" s="13" t="s">
        <v>269</v>
      </c>
      <c r="C44" s="13" t="s">
        <v>274</v>
      </c>
      <c r="D44" s="13" t="s">
        <v>116</v>
      </c>
      <c r="E44" s="13" t="s">
        <v>109</v>
      </c>
      <c r="F44" s="13">
        <v>3.0000000000000001E-3</v>
      </c>
      <c r="G44" s="13">
        <v>0</v>
      </c>
      <c r="H44" s="13">
        <v>512</v>
      </c>
      <c r="I44" s="13">
        <v>20</v>
      </c>
      <c r="J44" s="13" t="s">
        <v>203</v>
      </c>
      <c r="K44" s="13">
        <v>0</v>
      </c>
      <c r="L44" s="13" t="s">
        <v>119</v>
      </c>
      <c r="M44" s="13" t="s">
        <v>120</v>
      </c>
      <c r="N44" s="13" t="s">
        <v>121</v>
      </c>
      <c r="O44" s="13">
        <v>2</v>
      </c>
      <c r="P44" s="14">
        <v>2.651977137247612</v>
      </c>
      <c r="Q44" s="14">
        <v>0.1492739886482094</v>
      </c>
      <c r="R44" s="13">
        <v>20</v>
      </c>
      <c r="S44" s="14">
        <v>0.1158554763793945</v>
      </c>
      <c r="T44" s="14">
        <v>0.1492739886482094</v>
      </c>
      <c r="U44" s="14">
        <v>0.9425571738990125</v>
      </c>
      <c r="V44" s="14">
        <v>0.91224497865524568</v>
      </c>
      <c r="W44" s="13">
        <v>1.5034210216500701</v>
      </c>
      <c r="X44" s="13">
        <v>209.4990234375</v>
      </c>
      <c r="Y44" s="13" t="s">
        <v>110</v>
      </c>
      <c r="Z44" s="14"/>
      <c r="AA44" s="14"/>
      <c r="AB44" s="13" t="s">
        <v>275</v>
      </c>
      <c r="AC44" s="13" t="s">
        <v>272</v>
      </c>
      <c r="AD44" s="15">
        <f t="shared" si="2"/>
        <v>0.70606698819229874</v>
      </c>
      <c r="AE44" s="15">
        <f t="shared" si="3"/>
        <v>3.3418512268814898E-2</v>
      </c>
      <c r="AF44" s="15">
        <f>IF(OR(V44="",Seeds!$C$8=""),"",V44-Seeds!$C$8)</f>
        <v>5.1536646842741618E-2</v>
      </c>
      <c r="AG44" s="15" t="str">
        <f>IF(OR(AF44="",Seeds!$C$10=""),"",IF(ABS(AF44)&gt;Seeds!$C$10,"Có","Không"))</f>
        <v>Có</v>
      </c>
    </row>
    <row r="45" spans="1:33" ht="15" customHeight="1" x14ac:dyDescent="0.25">
      <c r="A45" s="13" t="s">
        <v>276</v>
      </c>
      <c r="B45" s="13" t="s">
        <v>269</v>
      </c>
      <c r="C45" s="13" t="s">
        <v>277</v>
      </c>
      <c r="D45" s="13" t="s">
        <v>116</v>
      </c>
      <c r="E45" s="13" t="s">
        <v>109</v>
      </c>
      <c r="F45" s="13">
        <v>3.0000000000000001E-3</v>
      </c>
      <c r="G45" s="13">
        <v>0</v>
      </c>
      <c r="H45" s="13">
        <v>512</v>
      </c>
      <c r="I45" s="13">
        <v>20</v>
      </c>
      <c r="J45" s="13" t="s">
        <v>203</v>
      </c>
      <c r="K45" s="13">
        <v>0</v>
      </c>
      <c r="L45" s="13" t="s">
        <v>119</v>
      </c>
      <c r="M45" s="13" t="s">
        <v>120</v>
      </c>
      <c r="N45" s="13" t="s">
        <v>121</v>
      </c>
      <c r="O45" s="13">
        <v>3</v>
      </c>
      <c r="P45" s="14">
        <v>2.7881746309143791</v>
      </c>
      <c r="Q45" s="14">
        <v>0.1476046378624675</v>
      </c>
      <c r="R45" s="13">
        <v>20</v>
      </c>
      <c r="S45" s="14">
        <v>0.1128111663818359</v>
      </c>
      <c r="T45" s="14">
        <v>0.1476046378624675</v>
      </c>
      <c r="U45" s="14">
        <v>0.94256793098255198</v>
      </c>
      <c r="V45" s="14">
        <v>0.91323612868510351</v>
      </c>
      <c r="W45" s="13">
        <v>1.5128820229999751</v>
      </c>
      <c r="X45" s="13">
        <v>210.11474609375</v>
      </c>
      <c r="Y45" s="13" t="s">
        <v>110</v>
      </c>
      <c r="Z45" s="14"/>
      <c r="AA45" s="14"/>
      <c r="AB45" s="13" t="s">
        <v>278</v>
      </c>
      <c r="AC45" s="13" t="s">
        <v>272</v>
      </c>
      <c r="AD45" s="15">
        <f t="shared" si="2"/>
        <v>0.84226448185906588</v>
      </c>
      <c r="AE45" s="15">
        <f t="shared" si="3"/>
        <v>3.4793471480631596E-2</v>
      </c>
      <c r="AF45" s="15">
        <f>IF(OR(V45="",Seeds!$C$8=""),"",V45-Seeds!$C$8)</f>
        <v>5.2527796872599453E-2</v>
      </c>
      <c r="AG45" s="15" t="str">
        <f>IF(OR(AF45="",Seeds!$C$10=""),"",IF(ABS(AF45)&gt;Seeds!$C$10,"Có","Không"))</f>
        <v>Có</v>
      </c>
    </row>
    <row r="46" spans="1:33" ht="1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ht="1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ht="1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ht="1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7109375" defaultRowHeight="15" x14ac:dyDescent="0.25"/>
  <cols>
    <col min="1" max="1" width="26" customWidth="1"/>
    <col min="2" max="4" width="16" customWidth="1"/>
  </cols>
  <sheetData>
    <row r="1" spans="1:4" ht="30" customHeight="1" x14ac:dyDescent="0.25">
      <c r="A1" s="7" t="s">
        <v>279</v>
      </c>
      <c r="B1" s="7" t="s">
        <v>70</v>
      </c>
      <c r="C1" s="7" t="s">
        <v>73</v>
      </c>
      <c r="D1" s="7" t="s">
        <v>61</v>
      </c>
    </row>
    <row r="2" spans="1:4" ht="15" customHeight="1" x14ac:dyDescent="0.25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0.90897355908865984</v>
      </c>
      <c r="C2" s="15">
        <f>IF($A2="","",IFERROR(IF(INDEX(Experiments!$V$2:$V$61,MATCH($A2,Experiments!$A$2:$A$61,0))="","",INDEX(Experiments!$V$2:$V$61,MATCH($A2,Experiments!$A$2:$A$61,0))),""))</f>
        <v>0.85734636390348418</v>
      </c>
      <c r="D2" s="15">
        <f>IF($A2="","",IFERROR(IF(INDEX(Experiments!$Q$2:$Q$61,MATCH($A2,Experiments!$A$2:$A$61,0))="","",INDEX(Experiments!$Q$2:$Q$61,MATCH($A2,Experiments!$A$2:$A$61,0))),""))</f>
        <v>0.2318148942179499</v>
      </c>
    </row>
    <row r="3" spans="1:4" ht="15" customHeight="1" x14ac:dyDescent="0.25">
      <c r="A3" s="12" t="s">
        <v>123</v>
      </c>
      <c r="B3" s="15">
        <f>IF($A3="","",IFERROR(IF(INDEX(Experiments!$U$2:$U$61,MATCH($A3,Experiments!$A$2:$A$61,0))="","",INDEX(Experiments!$U$2:$U$61,MATCH($A3,Experiments!$A$2:$A$61,0))),""))</f>
        <v>0.91435210085841523</v>
      </c>
      <c r="C3" s="15">
        <f>IF($A3="","",IFERROR(IF(INDEX(Experiments!$V$2:$V$61,MATCH($A3,Experiments!$A$2:$A$61,0))="","",INDEX(Experiments!$V$2:$V$61,MATCH($A3,Experiments!$A$2:$A$61,0))),""))</f>
        <v>0.86176691866067223</v>
      </c>
      <c r="D3" s="15">
        <f>IF($A3="","",IFERROR(IF(INDEX(Experiments!$Q$2:$Q$61,MATCH($A3,Experiments!$A$2:$A$61,0))="","",INDEX(Experiments!$Q$2:$Q$61,MATCH($A3,Experiments!$A$2:$A$61,0))),""))</f>
        <v>0.21448845043770401</v>
      </c>
    </row>
    <row r="4" spans="1:4" ht="15" customHeight="1" x14ac:dyDescent="0.25">
      <c r="A4" s="12" t="s">
        <v>126</v>
      </c>
      <c r="B4" s="15">
        <f>IF($A4="","",IFERROR(IF(INDEX(Experiments!$U$2:$U$61,MATCH($A4,Experiments!$A$2:$A$61,0))="","",INDEX(Experiments!$U$2:$U$61,MATCH($A4,Experiments!$A$2:$A$61,0))),""))</f>
        <v>0.91207159914803904</v>
      </c>
      <c r="C4" s="15">
        <f>IF($A4="","",IFERROR(IF(INDEX(Experiments!$V$2:$V$61,MATCH($A4,Experiments!$A$2:$A$61,0))="","",INDEX(Experiments!$V$2:$V$61,MATCH($A4,Experiments!$A$2:$A$61,0))),""))</f>
        <v>0.86301171287335599</v>
      </c>
      <c r="D4" s="15">
        <f>IF($A4="","",IFERROR(IF(INDEX(Experiments!$Q$2:$Q$61,MATCH($A4,Experiments!$A$2:$A$61,0))="","",INDEX(Experiments!$Q$2:$Q$61,MATCH($A4,Experiments!$A$2:$A$61,0))),""))</f>
        <v>0.22079248285337691</v>
      </c>
    </row>
    <row r="5" spans="1:4" ht="15" customHeight="1" x14ac:dyDescent="0.25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25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25">
      <c r="A8" s="16" t="s">
        <v>280</v>
      </c>
      <c r="B8" s="15">
        <f>IF(COUNT(B2:B6)=0,"",AVERAGE(B2:B6))</f>
        <v>0.91179908636503804</v>
      </c>
      <c r="C8" s="15">
        <f>IF(COUNT(C2:C6)=0,"",AVERAGE(C2:C6))</f>
        <v>0.86070833181250406</v>
      </c>
      <c r="D8" s="15">
        <f>IF(COUNT(D2:D6)=0,"",AVERAGE(D2:D6))</f>
        <v>0.22236527583634361</v>
      </c>
    </row>
    <row r="9" spans="1:4" ht="15" customHeight="1" x14ac:dyDescent="0.25">
      <c r="A9" s="16" t="s">
        <v>281</v>
      </c>
      <c r="B9" s="15">
        <f>IF(COUNT(B2:B6)&lt;2,"",STDEV(B2:B6))</f>
        <v>2.6996065092759463E-3</v>
      </c>
      <c r="C9" s="15">
        <f>IF(COUNT(C2:C6)&lt;2,"",STDEV(C2:C6))</f>
        <v>2.9773309060201463E-3</v>
      </c>
      <c r="D9" s="15">
        <f>IF(COUNT(D2:D6)&lt;2,"",STDEV(D2:D6))</f>
        <v>8.7696449097416345E-3</v>
      </c>
    </row>
    <row r="10" spans="1:4" ht="15" customHeight="1" x14ac:dyDescent="0.25">
      <c r="A10" s="16" t="s">
        <v>282</v>
      </c>
      <c r="B10" s="15">
        <f>IF(B9="","",2*B9)</f>
        <v>5.3992130185518926E-3</v>
      </c>
      <c r="C10" s="15">
        <f>IF(C9="","",2*C9)</f>
        <v>5.9546618120402926E-3</v>
      </c>
      <c r="D10" s="15">
        <f>IF(D9="","",2*D9)</f>
        <v>1.7539289819483269E-2</v>
      </c>
    </row>
    <row r="12" spans="1:4" ht="15" customHeight="1" x14ac:dyDescent="0.25">
      <c r="A12" s="2" t="s">
        <v>283</v>
      </c>
    </row>
    <row r="13" spans="1:4" ht="15" customHeight="1" x14ac:dyDescent="0.25">
      <c r="A13" s="2" t="s">
        <v>284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25">
      <c r="A1" s="7" t="s">
        <v>21</v>
      </c>
      <c r="B1" s="7" t="s">
        <v>285</v>
      </c>
      <c r="C1" s="7" t="s">
        <v>286</v>
      </c>
      <c r="D1" s="7" t="s">
        <v>287</v>
      </c>
      <c r="E1" s="7" t="s">
        <v>288</v>
      </c>
      <c r="F1" s="7" t="s">
        <v>289</v>
      </c>
      <c r="G1" s="7" t="s">
        <v>290</v>
      </c>
      <c r="H1" s="7" t="s">
        <v>291</v>
      </c>
    </row>
    <row r="2" spans="1:8" ht="15" customHeight="1" x14ac:dyDescent="0.25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0.86301171287335599</v>
      </c>
      <c r="E2" s="15">
        <f>IF(C2=0,"",_xlfn.MINIFS(Experiments!$V$2:$V$61,Experiments!$B$2:$B$61,A2))</f>
        <v>0.85734636390348418</v>
      </c>
      <c r="F2" s="15">
        <f>IF(C2=0,"",_xlfn.MAXIFS(Experiments!$U$2:$U$61,Experiments!$B$2:$B$61,A2))</f>
        <v>0.91435210085841523</v>
      </c>
      <c r="G2" s="17" t="s">
        <v>292</v>
      </c>
      <c r="H2" s="18" t="s">
        <v>293</v>
      </c>
    </row>
    <row r="3" spans="1:8" ht="15" customHeight="1" x14ac:dyDescent="0.25">
      <c r="A3" s="11" t="s">
        <v>27</v>
      </c>
      <c r="B3" s="17">
        <f>COUNTIF(Experiments!$B$2:$B$61,A3)</f>
        <v>1</v>
      </c>
      <c r="C3" s="17">
        <f>COUNTIFS(Experiments!$B$2:$B$61,A3,Experiments!$V$2:$V$61,"&lt;&gt;")</f>
        <v>1</v>
      </c>
      <c r="D3" s="15">
        <f>IF(C3=0,"",_xlfn.MAXIFS(Experiments!$V$2:$V$61,Experiments!$B$2:$B$61,A3))</f>
        <v>0.77261302042848268</v>
      </c>
      <c r="E3" s="15">
        <f>IF(C3=0,"",_xlfn.MINIFS(Experiments!$V$2:$V$61,Experiments!$B$2:$B$61,A3))</f>
        <v>0.77261302042848268</v>
      </c>
      <c r="F3" s="15">
        <f>IF(C3=0,"",_xlfn.MAXIFS(Experiments!$U$2:$U$61,Experiments!$B$2:$B$61,A3))</f>
        <v>0.88030593145586367</v>
      </c>
      <c r="G3" s="17" t="str">
        <f t="shared" ref="G3:G9" si="0">IF(C3&gt;0,"Có","Chưa")</f>
        <v>Có</v>
      </c>
      <c r="H3" s="18" t="s">
        <v>294</v>
      </c>
    </row>
    <row r="4" spans="1:8" ht="15" customHeight="1" x14ac:dyDescent="0.25">
      <c r="A4" s="11" t="s">
        <v>29</v>
      </c>
      <c r="B4" s="17">
        <f>COUNTIF(Experiments!$B$2:$B$61,A4)</f>
        <v>17</v>
      </c>
      <c r="C4" s="17">
        <f>COUNTIFS(Experiments!$B$2:$B$61,A4,Experiments!$V$2:$V$61,"&lt;&gt;")</f>
        <v>17</v>
      </c>
      <c r="D4" s="15">
        <f>IF(C4=0,"",_xlfn.MAXIFS(Experiments!$V$2:$V$61,Experiments!$B$2:$B$61,A4))</f>
        <v>0.86774661821115573</v>
      </c>
      <c r="E4" s="15">
        <f>IF(C4=0,"",_xlfn.MINIFS(Experiments!$V$2:$V$61,Experiments!$B$2:$B$61,A4))</f>
        <v>0.61547933940372945</v>
      </c>
      <c r="F4" s="15">
        <f>IF(C4=0,"",_xlfn.MAXIFS(Experiments!$U$2:$U$61,Experiments!$B$2:$B$61,A4))</f>
        <v>0.91681547298896326</v>
      </c>
      <c r="G4" s="17" t="str">
        <f t="shared" si="0"/>
        <v>Có</v>
      </c>
      <c r="H4" s="18" t="s">
        <v>295</v>
      </c>
    </row>
    <row r="5" spans="1:8" ht="15" customHeight="1" x14ac:dyDescent="0.25">
      <c r="A5" s="11" t="s">
        <v>192</v>
      </c>
      <c r="B5" s="17">
        <f>COUNTIF(Experiments!$B$2:$B$61,A5)</f>
        <v>7</v>
      </c>
      <c r="C5" s="17">
        <f>COUNTIFS(Experiments!$B$2:$B$61,A5,Experiments!$V$2:$V$61,"&lt;&gt;")</f>
        <v>7</v>
      </c>
      <c r="D5" s="15">
        <f>IF(C5=0,"",_xlfn.MAXIFS(Experiments!$V$2:$V$61,Experiments!$B$2:$B$61,A5))</f>
        <v>0.8946867782047454</v>
      </c>
      <c r="E5" s="15">
        <f>IF(C5=0,"",_xlfn.MINIFS(Experiments!$V$2:$V$61,Experiments!$B$2:$B$61,A5))</f>
        <v>9.3649990186254542E-2</v>
      </c>
      <c r="F5" s="15">
        <f>IF(C5=0,"",_xlfn.MAXIFS(Experiments!$U$2:$U$61,Experiments!$B$2:$B$61,A5))</f>
        <v>0.93669456336997914</v>
      </c>
      <c r="G5" s="17" t="str">
        <f t="shared" si="0"/>
        <v>Có</v>
      </c>
      <c r="H5" s="18" t="s">
        <v>296</v>
      </c>
    </row>
    <row r="6" spans="1:8" ht="15" customHeight="1" x14ac:dyDescent="0.25">
      <c r="A6" s="11" t="s">
        <v>46</v>
      </c>
      <c r="B6" s="17">
        <f>COUNTIF(Experiments!$B$2:$B$61,A6)</f>
        <v>3</v>
      </c>
      <c r="C6" s="17">
        <f>COUNTIFS(Experiments!$B$2:$B$61,A6,Experiments!$V$2:$V$61,"&lt;&gt;")</f>
        <v>3</v>
      </c>
      <c r="D6" s="15">
        <f>IF(C6=0,"",_xlfn.MAXIFS(Experiments!$V$2:$V$61,Experiments!$B$2:$B$61,A6))</f>
        <v>0.83847786043788564</v>
      </c>
      <c r="E6" s="15">
        <f>IF(C6=0,"",_xlfn.MINIFS(Experiments!$V$2:$V$61,Experiments!$B$2:$B$61,A6))</f>
        <v>0.5784212778775798</v>
      </c>
      <c r="F6" s="15">
        <f>IF(C6=0,"",_xlfn.MAXIFS(Experiments!$U$2:$U$61,Experiments!$B$2:$B$61,A6))</f>
        <v>0.90248703771433492</v>
      </c>
      <c r="G6" s="17" t="str">
        <f t="shared" si="0"/>
        <v>Có</v>
      </c>
      <c r="H6" s="18" t="s">
        <v>297</v>
      </c>
    </row>
    <row r="7" spans="1:8" ht="15" customHeight="1" x14ac:dyDescent="0.25">
      <c r="A7" s="11" t="s">
        <v>226</v>
      </c>
      <c r="B7" s="17">
        <f>COUNTIF(Experiments!$B$2:$B$61,A7)</f>
        <v>4</v>
      </c>
      <c r="C7" s="17">
        <f>COUNTIFS(Experiments!$B$2:$B$61,A7,Experiments!$V$2:$V$61,"&lt;&gt;")</f>
        <v>4</v>
      </c>
      <c r="D7" s="15">
        <f>IF(C7=0,"",_xlfn.MAXIFS(Experiments!$V$2:$V$61,Experiments!$B$2:$B$61,A7))</f>
        <v>0.85812706262356764</v>
      </c>
      <c r="E7" s="15">
        <f>IF(C7=0,"",_xlfn.MINIFS(Experiments!$V$2:$V$61,Experiments!$B$2:$B$61,A7))</f>
        <v>9.3649990186254542E-2</v>
      </c>
      <c r="F7" s="15">
        <f>IF(C7=0,"",_xlfn.MAXIFS(Experiments!$U$2:$U$61,Experiments!$B$2:$B$61,A7))</f>
        <v>0.90943611368085886</v>
      </c>
      <c r="G7" s="17" t="str">
        <f t="shared" si="0"/>
        <v>Có</v>
      </c>
      <c r="H7" s="18" t="s">
        <v>298</v>
      </c>
    </row>
    <row r="8" spans="1:8" ht="15" customHeight="1" x14ac:dyDescent="0.25">
      <c r="A8" s="11" t="s">
        <v>243</v>
      </c>
      <c r="B8" s="17">
        <f>COUNTIF(Experiments!$B$2:$B$61,A8)</f>
        <v>2</v>
      </c>
      <c r="C8" s="17">
        <f>COUNTIFS(Experiments!$B$2:$B$61,A8,Experiments!$V$2:$V$61,"&lt;&gt;")</f>
        <v>2</v>
      </c>
      <c r="D8" s="15">
        <f>IF(C8=0,"",_xlfn.MAXIFS(Experiments!$V$2:$V$61,Experiments!$B$2:$B$61,A8))</f>
        <v>0.85973547437936715</v>
      </c>
      <c r="E8" s="15">
        <f>IF(C8=0,"",_xlfn.MINIFS(Experiments!$V$2:$V$61,Experiments!$B$2:$B$61,A8))</f>
        <v>0.85203233882455875</v>
      </c>
      <c r="F8" s="15">
        <f>IF(C8=0,"",_xlfn.MAXIFS(Experiments!$U$2:$U$61,Experiments!$B$2:$B$61,A8))</f>
        <v>0.91117876121425956</v>
      </c>
      <c r="G8" s="17" t="str">
        <f t="shared" si="0"/>
        <v>Có</v>
      </c>
      <c r="H8" s="18" t="s">
        <v>299</v>
      </c>
    </row>
    <row r="9" spans="1:8" ht="15" customHeight="1" x14ac:dyDescent="0.25">
      <c r="A9" s="11" t="s">
        <v>53</v>
      </c>
      <c r="B9" s="17">
        <f>COUNTIF(Experiments!$B$2:$B$61,A9)</f>
        <v>4</v>
      </c>
      <c r="C9" s="17">
        <f>COUNTIFS(Experiments!$B$2:$B$61,A9,Experiments!$V$2:$V$61,"&lt;&gt;")</f>
        <v>4</v>
      </c>
      <c r="D9" s="15">
        <f>IF(C9=0,"",_xlfn.MAXIFS(Experiments!$V$2:$V$61,Experiments!$B$2:$B$61,A9))</f>
        <v>0.86365066541821922</v>
      </c>
      <c r="E9" s="15">
        <f>IF(C9=0,"",_xlfn.MINIFS(Experiments!$V$2:$V$61,Experiments!$B$2:$B$61,A9))</f>
        <v>9.3649990186254542E-2</v>
      </c>
      <c r="F9" s="15">
        <f>IF(C9=0,"",_xlfn.MAXIFS(Experiments!$U$2:$U$61,Experiments!$B$2:$B$61,A9))</f>
        <v>0.91453497127858696</v>
      </c>
      <c r="G9" s="17" t="str">
        <f t="shared" si="0"/>
        <v>Có</v>
      </c>
      <c r="H9" s="18" t="s">
        <v>300</v>
      </c>
    </row>
    <row r="10" spans="1:8" ht="15" customHeight="1" x14ac:dyDescent="0.25">
      <c r="A10" s="11" t="s">
        <v>269</v>
      </c>
      <c r="B10" s="17">
        <f>COUNTIF(Experiments!$B$2:$B$61,A10)</f>
        <v>3</v>
      </c>
      <c r="C10" s="17">
        <f>COUNTIFS(Experiments!$B$2:$B$61,A10,Experiments!$V$2:$V$61,"&lt;&gt;")</f>
        <v>3</v>
      </c>
      <c r="D10" s="15">
        <f>IF(C10=0,"",_xlfn.MAXIFS(Experiments!$V$2:$V$61,Experiments!$B$2:$B$61,A10))</f>
        <v>0.91391737759435188</v>
      </c>
      <c r="E10" s="15">
        <f>IF(C10=0,"",_xlfn.MINIFS(Experiments!$V$2:$V$61,Experiments!$B$2:$B$61,A10))</f>
        <v>0.91224497865524568</v>
      </c>
      <c r="F10" s="15">
        <f>IF(C10=0,"",_xlfn.MAXIFS(Experiments!$U$2:$U$61,Experiments!$B$2:$B$61,A10))</f>
        <v>0.94281534390396071</v>
      </c>
      <c r="G10" s="17" t="s">
        <v>292</v>
      </c>
      <c r="H10" s="18" t="s">
        <v>301</v>
      </c>
    </row>
    <row r="11" spans="1:8" ht="15" customHeight="1" x14ac:dyDescent="0.25">
      <c r="A11" s="11" t="s">
        <v>302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292</v>
      </c>
      <c r="H11" s="18"/>
    </row>
    <row r="13" spans="1:8" ht="15" customHeight="1" x14ac:dyDescent="0.25">
      <c r="A13" s="3" t="s">
        <v>303</v>
      </c>
      <c r="D13" s="3">
        <f>COUNTIF(G2:G11,"Có")</f>
        <v>7</v>
      </c>
    </row>
    <row r="14" spans="1:8" ht="15" customHeight="1" x14ac:dyDescent="0.25">
      <c r="A14" s="2" t="s">
        <v>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Canh Duy 20227174</cp:lastModifiedBy>
  <cp:revision>0</cp:revision>
  <dcterms:created xsi:type="dcterms:W3CDTF">2026-10-02T03:40:32Z</dcterms:created>
  <dcterms:modified xsi:type="dcterms:W3CDTF">2026-10-03T08:04:59Z</dcterms:modified>
  <dc:language>en-US</dc:language>
</cp:coreProperties>
</file>